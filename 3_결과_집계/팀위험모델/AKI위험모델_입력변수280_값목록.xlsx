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변수 목록" sheetId="2" state="visible" r:id="rId4"/>
    <sheet name="계열별 요약" sheetId="3" state="visible" r:id="rId5"/>
    <sheet name="범주형 변수 값" sheetId="4" state="visible" r:id="rId6"/>
  </sheets>
  <definedNames>
    <definedName function="false" hidden="true" localSheetId="1" name="_xlnm._FilterDatabase" vbProcedure="false">'변수 목록'!$A$1:$V$281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<sst xmlns="http://schemas.openxmlformats.org/spreadsheetml/2006/main" count="2082" uniqueCount="909">
  <si>
    <r>
      <rPr>
        <b val="true"/>
        <sz val="12"/>
        <rFont val="Malgun Gothic"/>
        <family val="0"/>
        <charset val="1"/>
      </rPr>
      <t xml:space="preserve">AKI </t>
    </r>
    <r>
      <rPr>
        <b val="true"/>
        <sz val="12"/>
        <rFont val="Noto Sans CJK SC"/>
        <family val="2"/>
      </rPr>
      <t xml:space="preserve">위험 예측 모델 입력 변수 </t>
    </r>
    <r>
      <rPr>
        <b val="true"/>
        <sz val="12"/>
        <rFont val="Malgun Gothic"/>
        <family val="0"/>
        <charset val="1"/>
      </rPr>
      <t xml:space="preserve">280</t>
    </r>
    <r>
      <rPr>
        <b val="true"/>
        <sz val="12"/>
        <rFont val="Noto Sans CJK SC"/>
        <family val="2"/>
      </rPr>
      <t xml:space="preserve">개 전체 목록</t>
    </r>
  </si>
  <si>
    <r>
      <rPr>
        <sz val="10"/>
        <rFont val="Noto Sans CJK SC"/>
        <family val="2"/>
      </rPr>
      <t xml:space="preserve">모델</t>
    </r>
    <r>
      <rPr>
        <sz val="10"/>
        <rFont val="Malgun Gothic"/>
        <family val="0"/>
        <charset val="1"/>
      </rPr>
      <t xml:space="preserve">: LightGBM + </t>
    </r>
    <r>
      <rPr>
        <sz val="10"/>
        <rFont val="Noto Sans CJK SC"/>
        <family val="2"/>
      </rPr>
      <t xml:space="preserve">추세 특징 </t>
    </r>
    <r>
      <rPr>
        <sz val="10"/>
        <rFont val="Malgun Gothic"/>
        <family val="0"/>
        <charset val="1"/>
      </rPr>
      <t xml:space="preserve">26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(ICU </t>
    </r>
    <r>
      <rPr>
        <sz val="10"/>
        <rFont val="Noto Sans CJK SC"/>
        <family val="2"/>
      </rPr>
      <t xml:space="preserve">입실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시간 시점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이후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안 첫 </t>
    </r>
    <r>
      <rPr>
        <sz val="10"/>
        <rFont val="Malgun Gothic"/>
        <family val="0"/>
        <charset val="1"/>
      </rPr>
      <t xml:space="preserve">AKI </t>
    </r>
    <r>
      <rPr>
        <sz val="10"/>
        <rFont val="Noto Sans CJK SC"/>
        <family val="2"/>
      </rPr>
      <t xml:space="preserve">예측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테스트 </t>
    </r>
    <r>
      <rPr>
        <sz val="10"/>
        <rFont val="Malgun Gothic"/>
        <family val="0"/>
        <charset val="1"/>
      </rPr>
      <t xml:space="preserve">AUROC 0.775.</t>
    </r>
  </si>
  <si>
    <r>
      <rPr>
        <sz val="10"/>
        <rFont val="Noto Sans CJK SC"/>
        <family val="2"/>
      </rPr>
      <t xml:space="preserve">분포 값</t>
    </r>
    <r>
      <rPr>
        <sz val="10"/>
        <rFont val="Malgun Gothic"/>
        <family val="0"/>
        <charset val="1"/>
      </rPr>
      <t xml:space="preserve">(p1~p99, </t>
    </r>
    <r>
      <rPr>
        <sz val="10"/>
        <rFont val="Noto Sans CJK SC"/>
        <family val="2"/>
      </rPr>
      <t xml:space="preserve">평균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중앙값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전체 코호트 </t>
    </r>
    <r>
      <rPr>
        <sz val="10"/>
        <rFont val="Malgun Gothic"/>
        <family val="0"/>
        <charset val="1"/>
      </rPr>
      <t xml:space="preserve">11,000</t>
    </r>
    <r>
      <rPr>
        <sz val="10"/>
        <rFont val="Noto Sans CJK SC"/>
        <family val="2"/>
      </rPr>
      <t xml:space="preserve">건</t>
    </r>
    <r>
      <rPr>
        <sz val="10"/>
        <rFont val="Malgun Gothic"/>
        <family val="0"/>
        <charset val="1"/>
      </rPr>
      <t xml:space="preserve">(AKI 15.8%)</t>
    </r>
    <r>
      <rPr>
        <sz val="10"/>
        <rFont val="Noto Sans CJK SC"/>
        <family val="2"/>
      </rPr>
      <t xml:space="preserve">에서 계산했고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환자 단위 값은 포함하지 않는 집계입니다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</si>
  <si>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p5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번째 백분위수</t>
    </r>
    <r>
      <rPr>
        <sz val="10"/>
        <rFont val="Malgun Gothic"/>
        <family val="0"/>
        <charset val="1"/>
      </rPr>
      <t xml:space="preserve">, IQR</t>
    </r>
    <r>
      <rPr>
        <sz val="10"/>
        <rFont val="Noto Sans CJK SC"/>
        <family val="2"/>
      </rPr>
      <t xml:space="preserve">은 </t>
    </r>
    <r>
      <rPr>
        <sz val="10"/>
        <rFont val="Malgun Gothic"/>
        <family val="0"/>
        <charset val="1"/>
      </rPr>
      <t xml:space="preserve">25~75</t>
    </r>
    <r>
      <rPr>
        <sz val="10"/>
        <rFont val="Noto Sans CJK SC"/>
        <family val="2"/>
      </rPr>
      <t xml:space="preserve">번째 백분위수 구간입니다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극단값 대신 </t>
    </r>
    <r>
      <rPr>
        <sz val="10"/>
        <rFont val="Malgun Gothic"/>
        <family val="0"/>
        <charset val="1"/>
      </rPr>
      <t xml:space="preserve">p1</t>
    </r>
    <r>
      <rPr>
        <sz val="10"/>
        <rFont val="Noto Sans CJK SC"/>
        <family val="2"/>
      </rPr>
      <t xml:space="preserve">과 </t>
    </r>
    <r>
      <rPr>
        <sz val="10"/>
        <rFont val="Malgun Gothic"/>
        <family val="0"/>
        <charset val="1"/>
      </rPr>
      <t xml:space="preserve">p99</t>
    </r>
    <r>
      <rPr>
        <sz val="10"/>
        <rFont val="Noto Sans CJK SC"/>
        <family val="2"/>
      </rPr>
      <t xml:space="preserve">를 사용했습니다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</si>
  <si>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결측값은 채우지 않고 그대로 모델에 넣었습니다 </t>
    </r>
    <r>
      <rPr>
        <sz val="10"/>
        <rFont val="Malgun Gothic"/>
        <family val="0"/>
        <charset val="1"/>
      </rPr>
      <t xml:space="preserve">(LightGBM</t>
    </r>
    <r>
      <rPr>
        <sz val="10"/>
        <rFont val="Noto Sans CJK SC"/>
        <family val="2"/>
      </rPr>
      <t xml:space="preserve">이 결측을 자체 처리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결측</t>
    </r>
    <r>
      <rPr>
        <sz val="10"/>
        <rFont val="Malgun Gothic"/>
        <family val="0"/>
        <charset val="1"/>
      </rPr>
      <t xml:space="preserve">(%)</t>
    </r>
    <r>
      <rPr>
        <sz val="10"/>
        <rFont val="Noto Sans CJK SC"/>
        <family val="2"/>
      </rPr>
      <t xml:space="preserve">이 큰 변수는 해당 측정이 없었던 환자가 많다는 뜻입니다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</si>
  <si>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형식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수치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연속값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정수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횟수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시간 수</t>
    </r>
    <r>
      <rPr>
        <sz val="10"/>
        <rFont val="Malgun Gothic"/>
        <family val="0"/>
        <charset val="1"/>
      </rPr>
      <t xml:space="preserve">), 0/1(</t>
    </r>
    <r>
      <rPr>
        <sz val="10"/>
        <rFont val="Noto Sans CJK SC"/>
        <family val="2"/>
      </rPr>
      <t xml:space="preserve">있음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없음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범주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문자 값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</si>
  <si>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'_mean/_min/_max/_last'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ICU </t>
    </r>
    <r>
      <rPr>
        <sz val="10"/>
        <rFont val="Noto Sans CJK SC"/>
        <family val="2"/>
      </rPr>
      <t xml:space="preserve">입실 후 </t>
    </r>
    <r>
      <rPr>
        <sz val="10"/>
        <rFont val="Malgun Gothic"/>
        <family val="0"/>
        <charset val="1"/>
      </rPr>
      <t xml:space="preserve">0~47</t>
    </r>
    <r>
      <rPr>
        <sz val="10"/>
        <rFont val="Noto Sans CJK SC"/>
        <family val="2"/>
      </rPr>
      <t xml:space="preserve">시간 시간별 값의 평균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최솟값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최댓값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마지막 값이고</t>
    </r>
    <r>
      <rPr>
        <sz val="10"/>
        <rFont val="Malgun Gothic"/>
        <family val="0"/>
        <charset val="1"/>
      </rPr>
      <t xml:space="preserve">, '_n_hours_obs'</t>
    </r>
    <r>
      <rPr>
        <sz val="10"/>
        <rFont val="Noto Sans CJK SC"/>
        <family val="2"/>
      </rPr>
      <t xml:space="preserve">는 값이 기록된 시간 수입니다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</si>
  <si>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tr_* </t>
    </r>
    <r>
      <rPr>
        <sz val="10"/>
        <rFont val="Noto Sans CJK SC"/>
        <family val="2"/>
      </rPr>
      <t xml:space="preserve">변수는 </t>
    </r>
    <r>
      <rPr>
        <sz val="10"/>
        <rFont val="Malgun Gothic"/>
        <family val="0"/>
        <charset val="1"/>
      </rPr>
      <t xml:space="preserve">hourly </t>
    </r>
    <r>
      <rPr>
        <sz val="10"/>
        <rFont val="Noto Sans CJK SC"/>
        <family val="2"/>
      </rPr>
      <t xml:space="preserve">자료에서 만든 추세 특징입니다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Malgun Gothic"/>
        <family val="0"/>
        <charset val="1"/>
      </rPr>
      <t xml:space="preserve">: tr_uo_rate_6h =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시간 평균 소변량 속도</t>
    </r>
    <r>
      <rPr>
        <sz val="10"/>
        <rFont val="Malgun Gothic"/>
        <family val="0"/>
        <charset val="1"/>
      </rPr>
      <t xml:space="preserve">).</t>
    </r>
  </si>
  <si>
    <r>
      <rPr>
        <sz val="10"/>
        <rFont val="Malgun Gothic"/>
        <family val="0"/>
        <charset val="1"/>
      </rPr>
      <t xml:space="preserve">atc_* / drug_pip_tazo / atc3_* </t>
    </r>
    <r>
      <rPr>
        <sz val="10"/>
        <rFont val="Noto Sans CJK SC"/>
        <family val="2"/>
      </rPr>
      <t xml:space="preserve">변수는 </t>
    </r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시작된 처방의 약 계열 여부</t>
    </r>
    <r>
      <rPr>
        <sz val="10"/>
        <rFont val="Malgun Gothic"/>
        <family val="0"/>
        <charset val="1"/>
      </rPr>
      <t xml:space="preserve">(0/1)</t>
    </r>
    <r>
      <rPr>
        <sz val="10"/>
        <rFont val="Noto Sans CJK SC"/>
        <family val="2"/>
      </rPr>
      <t xml:space="preserve">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</si>
  <si>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SHAP </t>
    </r>
    <r>
      <rPr>
        <sz val="10"/>
        <rFont val="Noto Sans CJK SC"/>
        <family val="2"/>
      </rPr>
      <t xml:space="preserve">순위와 평균 </t>
    </r>
    <r>
      <rPr>
        <sz val="10"/>
        <rFont val="Malgun Gothic"/>
        <family val="0"/>
        <charset val="1"/>
      </rPr>
      <t xml:space="preserve">|SHAP|</t>
    </r>
    <r>
      <rPr>
        <sz val="10"/>
        <rFont val="Noto Sans CJK SC"/>
        <family val="2"/>
      </rPr>
      <t xml:space="preserve">은 테스트 </t>
    </r>
    <r>
      <rPr>
        <sz val="10"/>
        <rFont val="Malgun Gothic"/>
        <family val="0"/>
        <charset val="1"/>
      </rPr>
      <t xml:space="preserve">1,658</t>
    </r>
    <r>
      <rPr>
        <sz val="10"/>
        <rFont val="Noto Sans CJK SC"/>
        <family val="2"/>
      </rPr>
      <t xml:space="preserve">건 기준이며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분할 횟수가 </t>
    </r>
    <r>
      <rPr>
        <sz val="10"/>
        <rFont val="Malgun Gothic"/>
        <family val="0"/>
        <charset val="1"/>
      </rPr>
      <t xml:space="preserve">0</t>
    </r>
    <r>
      <rPr>
        <sz val="10"/>
        <rFont val="Noto Sans CJK SC"/>
        <family val="2"/>
      </rPr>
      <t xml:space="preserve">이면 모델이 한 번도 쓰지 않은 변수입니다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</si>
  <si>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설명 문구는 팀 파이프라인의 </t>
    </r>
    <r>
      <rPr>
        <sz val="10"/>
        <rFont val="Malgun Gothic"/>
        <family val="0"/>
        <charset val="1"/>
      </rPr>
      <t xml:space="preserve">feature_dictionary_kr.md</t>
    </r>
    <r>
      <rPr>
        <sz val="10"/>
        <rFont val="Noto Sans CJK SC"/>
        <family val="2"/>
      </rPr>
      <t xml:space="preserve">와 추세 특징 설명을 그대로 사용했습니다</t>
    </r>
    <r>
      <rPr>
        <sz val="10"/>
        <rFont val="Malgun Gothic"/>
        <family val="0"/>
        <charset val="1"/>
      </rPr>
      <t xml:space="preserve">.</t>
    </r>
  </si>
  <si>
    <t xml:space="preserve">번호</t>
  </si>
  <si>
    <t xml:space="preserve">변수명</t>
  </si>
  <si>
    <t xml:space="preserve">계열</t>
  </si>
  <si>
    <t xml:space="preserve">설명</t>
  </si>
  <si>
    <t xml:space="preserve">형식</t>
  </si>
  <si>
    <t xml:space="preserve">단위</t>
  </si>
  <si>
    <r>
      <rPr>
        <b val="true"/>
        <sz val="10"/>
        <color rgb="FFFFFFFF"/>
        <rFont val="Noto Sans CJK SC"/>
        <family val="2"/>
      </rPr>
      <t xml:space="preserve">결측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</si>
  <si>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값 예시</t>
  </si>
  <si>
    <t xml:space="preserve">p1</t>
  </si>
  <si>
    <t xml:space="preserve">p5</t>
  </si>
  <si>
    <t xml:space="preserve">p25</t>
  </si>
  <si>
    <t xml:space="preserve">중앙값</t>
  </si>
  <si>
    <t xml:space="preserve">p75</t>
  </si>
  <si>
    <t xml:space="preserve">p95</t>
  </si>
  <si>
    <t xml:space="preserve">p99</t>
  </si>
  <si>
    <t xml:space="preserve">평균</t>
  </si>
  <si>
    <t xml:space="preserve">고유값 수</t>
  </si>
  <si>
    <r>
      <rPr>
        <b val="true"/>
        <sz val="10"/>
        <color rgb="FFFFFFFF"/>
        <rFont val="Malgun Gothic"/>
        <family val="0"/>
        <charset val="1"/>
      </rPr>
      <t xml:space="preserve">SHAP </t>
    </r>
    <r>
      <rPr>
        <b val="true"/>
        <sz val="10"/>
        <color rgb="FFFFFFFF"/>
        <rFont val="Noto Sans CJK SC"/>
        <family val="2"/>
      </rPr>
      <t xml:space="preserve">순위</t>
    </r>
  </si>
  <si>
    <r>
      <rPr>
        <b val="true"/>
        <sz val="10"/>
        <color rgb="FFFFFFFF"/>
        <rFont val="Noto Sans CJK SC"/>
        <family val="2"/>
      </rPr>
      <t xml:space="preserve">평균 </t>
    </r>
    <r>
      <rPr>
        <b val="true"/>
        <sz val="10"/>
        <color rgb="FFFFFFFF"/>
        <rFont val="Malgun Gothic"/>
        <family val="0"/>
        <charset val="1"/>
      </rPr>
      <t xml:space="preserve">|SHAP|</t>
    </r>
  </si>
  <si>
    <r>
      <rPr>
        <b val="true"/>
        <sz val="10"/>
        <color rgb="FFFFFFFF"/>
        <rFont val="Malgun Gothic"/>
        <family val="0"/>
        <charset val="1"/>
      </rPr>
      <t xml:space="preserve">SHAP </t>
    </r>
    <r>
      <rPr>
        <b val="true"/>
        <sz val="10"/>
        <color rgb="FFFFFFFF"/>
        <rFont val="Noto Sans CJK SC"/>
        <family val="2"/>
      </rPr>
      <t xml:space="preserve">비중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</si>
  <si>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분할 횟수</t>
  </si>
  <si>
    <t xml:space="preserve">모델 사용</t>
  </si>
  <si>
    <t xml:space="preserve">age_at_icu</t>
  </si>
  <si>
    <r>
      <rPr>
        <sz val="10"/>
        <rFont val="Noto Sans CJK SC"/>
        <family val="2"/>
      </rPr>
      <t xml:space="preserve">정적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치료력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나이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병동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투석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승압제 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</si>
  <si>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ICU </t>
    </r>
    <r>
      <rPr>
        <sz val="10"/>
        <rFont val="Noto Sans CJK SC"/>
        <family val="2"/>
      </rPr>
      <t xml:space="preserve">입실 시 나이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세</t>
    </r>
    <r>
      <rPr>
        <sz val="10"/>
        <rFont val="Malgun Gothic"/>
        <family val="0"/>
        <charset val="1"/>
      </rPr>
      <t xml:space="preserve">): patients.anchor_age</t>
    </r>
    <r>
      <rPr>
        <sz val="10"/>
        <rFont val="Noto Sans CJK SC"/>
        <family val="2"/>
      </rPr>
      <t xml:space="preserve">에 </t>
    </r>
    <r>
      <rPr>
        <sz val="10"/>
        <rFont val="Malgun Gothic"/>
        <family val="0"/>
        <charset val="1"/>
      </rPr>
      <t xml:space="preserve">patients.anchor_year</t>
    </r>
    <r>
      <rPr>
        <sz val="10"/>
        <rFont val="Noto Sans CJK SC"/>
        <family val="2"/>
      </rPr>
      <t xml:space="preserve">부터 </t>
    </r>
    <r>
      <rPr>
        <sz val="10"/>
        <rFont val="Malgun Gothic"/>
        <family val="0"/>
        <charset val="1"/>
      </rPr>
      <t xml:space="preserve">icustays.intime</t>
    </r>
    <r>
      <rPr>
        <sz val="10"/>
        <rFont val="Noto Sans CJK SC"/>
        <family val="2"/>
      </rPr>
      <t xml:space="preserve">까지의 연수를 더한 값</t>
    </r>
  </si>
  <si>
    <t xml:space="preserve">수치</t>
  </si>
  <si>
    <t xml:space="preserve">세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</si>
  <si>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66.0 (IQR 54.0~76.0) | 5~95% 30.0~88.0</t>
    </r>
  </si>
  <si>
    <t xml:space="preserve">사용</t>
  </si>
  <si>
    <t xml:space="preserve">gender</t>
  </si>
  <si>
    <r>
      <rPr>
        <sz val="10"/>
        <rFont val="Noto Sans CJK SC"/>
        <family val="2"/>
      </rPr>
      <t xml:space="preserve">성별</t>
    </r>
    <r>
      <rPr>
        <sz val="10"/>
        <rFont val="Malgun Gothic"/>
        <family val="0"/>
        <charset val="1"/>
      </rPr>
      <t xml:space="preserve">(F </t>
    </r>
    <r>
      <rPr>
        <sz val="10"/>
        <rFont val="Noto Sans CJK SC"/>
        <family val="2"/>
      </rPr>
      <t xml:space="preserve">또는 </t>
    </r>
    <r>
      <rPr>
        <sz val="10"/>
        <rFont val="Malgun Gothic"/>
        <family val="0"/>
        <charset val="1"/>
      </rPr>
      <t xml:space="preserve">M)</t>
    </r>
  </si>
  <si>
    <t xml:space="preserve">범주</t>
  </si>
  <si>
    <t xml:space="preserve">M 56.2% / F 43.8%</t>
  </si>
  <si>
    <t xml:space="preserve">first_careunit</t>
  </si>
  <si>
    <r>
      <rPr>
        <sz val="10"/>
        <rFont val="Noto Sans CJK SC"/>
        <family val="2"/>
      </rPr>
      <t xml:space="preserve">첫 </t>
    </r>
    <r>
      <rPr>
        <sz val="10"/>
        <rFont val="Malgun Gothic"/>
        <family val="0"/>
        <charset val="1"/>
      </rPr>
      <t xml:space="preserve">ICU </t>
    </r>
    <r>
      <rPr>
        <sz val="10"/>
        <rFont val="Noto Sans CJK SC"/>
        <family val="2"/>
      </rPr>
      <t xml:space="preserve">병동</t>
    </r>
  </si>
  <si>
    <r>
      <rPr>
        <sz val="10"/>
        <rFont val="Malgun Gothic"/>
        <family val="0"/>
        <charset val="1"/>
      </rPr>
      <t xml:space="preserve">Medical Intensive Care Unit (MICU) 18.5% / Neuro Intermediate 17.2% / Medical/Surgical Intensive Care Unit (MICU/SICU) 14.5% </t>
    </r>
    <r>
      <rPr>
        <sz val="10"/>
        <rFont val="Noto Sans CJK SC"/>
        <family val="2"/>
      </rPr>
      <t xml:space="preserve">외 </t>
    </r>
    <r>
      <rPr>
        <sz val="10"/>
        <rFont val="Malgun Gothic"/>
        <family val="0"/>
        <charset val="1"/>
      </rPr>
      <t xml:space="preserve">11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전체는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범주형 변수 값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)</t>
    </r>
  </si>
  <si>
    <t xml:space="preserve">admission_type</t>
  </si>
  <si>
    <t xml:space="preserve">입원 유형</t>
  </si>
  <si>
    <r>
      <rPr>
        <sz val="10"/>
        <rFont val="Malgun Gothic"/>
        <family val="0"/>
        <charset val="1"/>
      </rPr>
      <t xml:space="preserve">EW EMER. 50.9% / OBSERVATION ADMIT 18.6% / URGENT 18.2% </t>
    </r>
    <r>
      <rPr>
        <sz val="10"/>
        <rFont val="Noto Sans CJK SC"/>
        <family val="2"/>
      </rPr>
      <t xml:space="preserve">외 </t>
    </r>
    <r>
      <rPr>
        <sz val="10"/>
        <rFont val="Malgun Gothic"/>
        <family val="0"/>
        <charset val="1"/>
      </rPr>
      <t xml:space="preserve">5</t>
    </r>
    <r>
      <rPr>
        <sz val="10"/>
        <rFont val="Noto Sans CJK SC"/>
        <family val="2"/>
      </rPr>
      <t xml:space="preserve">개 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전체는 </t>
    </r>
    <r>
      <rPr>
        <sz val="10"/>
        <rFont val="Malgun Gothic"/>
        <family val="0"/>
        <charset val="1"/>
      </rPr>
      <t xml:space="preserve">'</t>
    </r>
    <r>
      <rPr>
        <sz val="10"/>
        <rFont val="Noto Sans CJK SC"/>
        <family val="2"/>
      </rPr>
      <t xml:space="preserve">범주형 변수 값</t>
    </r>
    <r>
      <rPr>
        <sz val="10"/>
        <rFont val="Malgun Gothic"/>
        <family val="0"/>
        <charset val="1"/>
      </rPr>
      <t xml:space="preserve">' </t>
    </r>
    <r>
      <rPr>
        <sz val="10"/>
        <rFont val="Noto Sans CJK SC"/>
        <family val="2"/>
      </rPr>
      <t xml:space="preserve">시트</t>
    </r>
    <r>
      <rPr>
        <sz val="10"/>
        <rFont val="Malgun Gothic"/>
        <family val="0"/>
        <charset val="1"/>
      </rPr>
      <t xml:space="preserve">)</t>
    </r>
  </si>
  <si>
    <t xml:space="preserve">미사용</t>
  </si>
  <si>
    <t xml:space="preserve">weight_kg</t>
  </si>
  <si>
    <r>
      <rPr>
        <sz val="10"/>
        <rFont val="Malgun Gothic"/>
        <family val="0"/>
        <charset val="1"/>
      </rPr>
      <t xml:space="preserve">eGFR</t>
    </r>
    <r>
      <rPr>
        <sz val="10"/>
        <rFont val="Noto Sans CJK SC"/>
        <family val="2"/>
      </rPr>
      <t xml:space="preserve">과 소변량 계산에 쓰는 체중</t>
    </r>
    <r>
      <rPr>
        <sz val="10"/>
        <rFont val="Malgun Gothic"/>
        <family val="0"/>
        <charset val="1"/>
      </rPr>
      <t xml:space="preserve">(kg). </t>
    </r>
    <r>
      <rPr>
        <sz val="10"/>
        <rFont val="Noto Sans CJK SC"/>
        <family val="2"/>
      </rPr>
      <t xml:space="preserve">출처는 칼럼 </t>
    </r>
    <r>
      <rPr>
        <sz val="10"/>
        <rFont val="Malgun Gothic"/>
        <family val="0"/>
        <charset val="1"/>
      </rPr>
      <t xml:space="preserve">weight_src</t>
    </r>
    <r>
      <rPr>
        <sz val="10"/>
        <rFont val="Noto Sans CJK SC"/>
        <family val="2"/>
      </rPr>
      <t xml:space="preserve">에 있다</t>
    </r>
    <r>
      <rPr>
        <sz val="10"/>
        <rFont val="Malgun Gothic"/>
        <family val="0"/>
        <charset val="1"/>
      </rPr>
      <t xml:space="preserve">. MIMIC-IV </t>
    </r>
    <r>
      <rPr>
        <sz val="10"/>
        <rFont val="Noto Sans CJK SC"/>
        <family val="2"/>
      </rPr>
      <t xml:space="preserve">항목은 </t>
    </r>
    <r>
      <rPr>
        <sz val="10"/>
        <rFont val="Malgun Gothic"/>
        <family val="0"/>
        <charset val="1"/>
      </rPr>
      <t xml:space="preserve">itemids_kr.md</t>
    </r>
    <r>
      <rPr>
        <sz val="10"/>
        <rFont val="Noto Sans CJK SC"/>
        <family val="2"/>
      </rPr>
      <t xml:space="preserve">에 있다</t>
    </r>
  </si>
  <si>
    <t xml:space="preserve">kg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</si>
  <si>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75.0 (IQR 63.1~89.0) | 5~95% 49.0~117</t>
    </r>
  </si>
  <si>
    <t xml:space="preserve">esrd_known_at_t0</t>
  </si>
  <si>
    <r>
      <rPr>
        <sz val="10"/>
        <rFont val="Noto Sans CJK SC"/>
        <family val="2"/>
      </rPr>
      <t xml:space="preserve">현재 입원의 </t>
    </r>
    <r>
      <rPr>
        <sz val="10"/>
        <rFont val="Malgun Gothic"/>
        <family val="0"/>
        <charset val="1"/>
      </rPr>
      <t xml:space="preserve">ICD </t>
    </r>
    <r>
      <rPr>
        <sz val="10"/>
        <rFont val="Noto Sans CJK SC"/>
        <family val="2"/>
      </rPr>
      <t xml:space="preserve">코드를 뺀 </t>
    </r>
    <r>
      <rPr>
        <sz val="10"/>
        <rFont val="Malgun Gothic"/>
        <family val="0"/>
        <charset val="1"/>
      </rPr>
      <t xml:space="preserve">ESRD </t>
    </r>
    <r>
      <rPr>
        <sz val="10"/>
        <rFont val="Noto Sans CJK SC"/>
        <family val="2"/>
      </rPr>
      <t xml:space="preserve">또는 만성 투석 플래그이다</t>
    </r>
    <r>
      <rPr>
        <sz val="10"/>
        <rFont val="Malgun Gothic"/>
        <family val="0"/>
        <charset val="1"/>
      </rPr>
      <t xml:space="preserve">.</t>
    </r>
  </si>
  <si>
    <t xml:space="preserve">0/1</t>
  </si>
  <si>
    <t xml:space="preserve">1 = 1.90% , 0 = 98.1%</t>
  </si>
  <si>
    <t xml:space="preserve">ckd_icd_prior_adm</t>
  </si>
  <si>
    <r>
      <rPr>
        <sz val="10"/>
        <rFont val="Noto Sans CJK SC"/>
        <family val="2"/>
      </rPr>
      <t xml:space="preserve">이전 입원의 </t>
    </r>
    <r>
      <rPr>
        <sz val="10"/>
        <rFont val="Malgun Gothic"/>
        <family val="0"/>
        <charset val="1"/>
      </rPr>
      <t xml:space="preserve">CKD ICD </t>
    </r>
    <r>
      <rPr>
        <sz val="10"/>
        <rFont val="Noto Sans CJK SC"/>
        <family val="2"/>
      </rPr>
      <t xml:space="preserve">코드</t>
    </r>
    <r>
      <rPr>
        <sz val="10"/>
        <rFont val="Malgun Gothic"/>
        <family val="0"/>
        <charset val="1"/>
      </rPr>
      <t xml:space="preserve">(1~5</t>
    </r>
    <r>
      <rPr>
        <sz val="10"/>
        <rFont val="Noto Sans CJK SC"/>
        <family val="2"/>
      </rPr>
      <t xml:space="preserve">기 또는 미분류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투석 제외</t>
    </r>
    <r>
      <rPr>
        <sz val="10"/>
        <rFont val="Malgun Gothic"/>
        <family val="0"/>
        <charset val="1"/>
      </rPr>
      <t xml:space="preserve">).</t>
    </r>
  </si>
  <si>
    <t xml:space="preserve">1 = 9.80% , 0 = 90.2%</t>
  </si>
  <si>
    <t xml:space="preserve">creat_baseline_7d</t>
  </si>
  <si>
    <r>
      <rPr>
        <sz val="10"/>
        <rFont val="Noto Sans CJK SC"/>
        <family val="2"/>
      </rPr>
      <t xml:space="preserve">검사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크레아티닌</t>
    </r>
    <r>
      <rPr>
        <sz val="10"/>
        <rFont val="Malgun Gothic"/>
        <family val="0"/>
        <charset val="1"/>
      </rPr>
      <t xml:space="preserve">·eGFR·</t>
    </r>
    <r>
      <rPr>
        <sz val="10"/>
        <rFont val="Noto Sans CJK SC"/>
        <family val="2"/>
      </rPr>
      <t xml:space="preserve">전해질 등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</si>
  <si>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ICU </t>
    </r>
    <r>
      <rPr>
        <sz val="10"/>
        <rFont val="Noto Sans CJK SC"/>
        <family val="2"/>
      </rPr>
      <t xml:space="preserve">입실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일 전부터 </t>
    </r>
    <r>
      <rPr>
        <sz val="10"/>
        <rFont val="Malgun Gothic"/>
        <family val="0"/>
        <charset val="1"/>
      </rPr>
      <t xml:space="preserve">time zero</t>
    </r>
    <r>
      <rPr>
        <sz val="10"/>
        <rFont val="Noto Sans CJK SC"/>
        <family val="2"/>
      </rPr>
      <t xml:space="preserve">까지의 최저 크레아티닌</t>
    </r>
    <r>
      <rPr>
        <sz val="10"/>
        <rFont val="Malgun Gothic"/>
        <family val="0"/>
        <charset val="1"/>
      </rPr>
      <t xml:space="preserve">.</t>
    </r>
  </si>
  <si>
    <t xml:space="preserve">mg/dL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</si>
  <si>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0.80 (IQR 0.60~1.00) | 5~95% 0.40~2.00</t>
    </r>
  </si>
  <si>
    <t xml:space="preserve">creat_last_pre_icu</t>
  </si>
  <si>
    <r>
      <rPr>
        <sz val="10"/>
        <rFont val="Malgun Gothic"/>
        <family val="0"/>
        <charset val="1"/>
      </rPr>
      <t xml:space="preserve">ICU </t>
    </r>
    <r>
      <rPr>
        <sz val="10"/>
        <rFont val="Noto Sans CJK SC"/>
        <family val="2"/>
      </rPr>
      <t xml:space="preserve">입실 전 </t>
    </r>
    <r>
      <rPr>
        <sz val="10"/>
        <rFont val="Malgun Gothic"/>
        <family val="0"/>
        <charset val="1"/>
      </rPr>
      <t xml:space="preserve">7</t>
    </r>
    <r>
      <rPr>
        <sz val="10"/>
        <rFont val="Noto Sans CJK SC"/>
        <family val="2"/>
      </rPr>
      <t xml:space="preserve">일 중 마지막 크레아티닌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</si>
  <si>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0.90 (IQR 0.70~1.30) | 5~95% 0.50~2.90</t>
    </r>
  </si>
  <si>
    <t xml:space="preserve">n_dialysis_sessions_before_t0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</si>
  <si>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투석 횟수</t>
    </r>
    <r>
      <rPr>
        <sz val="10"/>
        <rFont val="Malgun Gothic"/>
        <family val="0"/>
        <charset val="1"/>
      </rPr>
      <t xml:space="preserve">.</t>
    </r>
  </si>
  <si>
    <t xml:space="preserve">정수</t>
  </si>
  <si>
    <t xml:space="preserve">회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</si>
  <si>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0.00~0.00) | 5~95% 0.00~0.00</t>
    </r>
  </si>
  <si>
    <t xml:space="preserve">first_dialysis_hour</t>
  </si>
  <si>
    <r>
      <rPr>
        <sz val="10"/>
        <rFont val="Noto Sans CJK SC"/>
        <family val="2"/>
      </rPr>
      <t xml:space="preserve">첫 투석 시작 시점</t>
    </r>
    <r>
      <rPr>
        <sz val="10"/>
        <rFont val="Malgun Gothic"/>
        <family val="0"/>
        <charset val="1"/>
      </rPr>
      <t xml:space="preserve">(ICU </t>
    </r>
    <r>
      <rPr>
        <sz val="10"/>
        <rFont val="Noto Sans CJK SC"/>
        <family val="2"/>
      </rPr>
      <t xml:space="preserve">입실 후 경과 시간</t>
    </r>
    <r>
      <rPr>
        <sz val="10"/>
        <rFont val="Malgun Gothic"/>
        <family val="0"/>
        <charset val="1"/>
      </rPr>
      <t xml:space="preserve">).</t>
    </r>
  </si>
  <si>
    <t xml:space="preserve">시간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</si>
  <si>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10.1 (IQR 4.27~18.3) | 5~95% 1.46~39.4</t>
    </r>
  </si>
  <si>
    <t xml:space="preserve">vasopressor_hours</t>
  </si>
  <si>
    <r>
      <rPr>
        <sz val="10"/>
        <rFont val="Noto Sans CJK SC"/>
        <family val="2"/>
      </rPr>
      <t xml:space="preserve">승압제를 주입한 시간 수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</si>
  <si>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0.00~2.00) | 5~95% 0.00~45.0</t>
    </r>
  </si>
  <si>
    <t xml:space="preserve">dialysis_hours</t>
  </si>
  <si>
    <r>
      <rPr>
        <sz val="10"/>
        <rFont val="Noto Sans CJK SC"/>
        <family val="2"/>
      </rPr>
      <t xml:space="preserve">투석한 시간 수</t>
    </r>
    <r>
      <rPr>
        <sz val="10"/>
        <rFont val="Malgun Gothic"/>
        <family val="0"/>
        <charset val="1"/>
      </rPr>
      <t xml:space="preserve">.</t>
    </r>
  </si>
  <si>
    <t xml:space="preserve">crrt_hours</t>
  </si>
  <si>
    <r>
      <rPr>
        <sz val="10"/>
        <rFont val="Malgun Gothic"/>
        <family val="0"/>
        <charset val="1"/>
      </rPr>
      <t xml:space="preserve">CRRT</t>
    </r>
    <r>
      <rPr>
        <sz val="10"/>
        <rFont val="Noto Sans CJK SC"/>
        <family val="2"/>
      </rPr>
      <t xml:space="preserve">를 한 시간 수</t>
    </r>
    <r>
      <rPr>
        <sz val="10"/>
        <rFont val="Malgun Gothic"/>
        <family val="0"/>
        <charset val="1"/>
      </rPr>
      <t xml:space="preserve">.</t>
    </r>
  </si>
  <si>
    <t xml:space="preserve">urine_ml_kg_h_overall</t>
  </si>
  <si>
    <r>
      <rPr>
        <sz val="10"/>
        <rFont val="Noto Sans CJK SC"/>
        <family val="2"/>
      </rPr>
      <t xml:space="preserve">소변량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수액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</si>
  <si>
    <r>
      <rPr>
        <sz val="10"/>
        <rFont val="Malgun Gothic"/>
        <family val="0"/>
        <charset val="1"/>
      </rPr>
      <t xml:space="preserve">0~47</t>
    </r>
    <r>
      <rPr>
        <sz val="10"/>
        <rFont val="Noto Sans CJK SC"/>
        <family val="2"/>
      </rPr>
      <t xml:space="preserve">시간의 소변량 속도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총 소변량을 체중과 커버한 시간으로 나눈 값이다</t>
    </r>
    <r>
      <rPr>
        <sz val="10"/>
        <rFont val="Malgun Gothic"/>
        <family val="0"/>
        <charset val="1"/>
      </rPr>
      <t xml:space="preserve">.</t>
    </r>
  </si>
  <si>
    <t xml:space="preserve">mL/kg/h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</si>
  <si>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1.29 (IQR 0.93~1.77) | 5~95% 0.56~2.82</t>
    </r>
  </si>
  <si>
    <t xml:space="preserve">fluid_balance_ml</t>
  </si>
  <si>
    <r>
      <rPr>
        <sz val="10"/>
        <rFont val="Malgun Gothic"/>
        <family val="0"/>
        <charset val="1"/>
      </rPr>
      <t xml:space="preserve">0~47</t>
    </r>
    <r>
      <rPr>
        <sz val="10"/>
        <rFont val="Noto Sans CJK SC"/>
        <family val="2"/>
      </rPr>
      <t xml:space="preserve">시간의 섭취량에서 소변량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배액량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대변량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기타 배출량을 뺀 값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섭취 값이나 소변 값이 없으면 비어 있다</t>
    </r>
    <r>
      <rPr>
        <sz val="10"/>
        <rFont val="Malgun Gothic"/>
        <family val="0"/>
        <charset val="1"/>
      </rPr>
      <t xml:space="preserve">.</t>
    </r>
  </si>
  <si>
    <t xml:space="preserve">mL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</si>
  <si>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1466 (IQR -330~3779) | 5~95% -3387~9035</t>
    </r>
  </si>
  <si>
    <t xml:space="preserve">rrt_before_t0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</si>
  <si>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투석을 시작했다</t>
    </r>
    <r>
      <rPr>
        <sz val="10"/>
        <rFont val="Malgun Gothic"/>
        <family val="0"/>
        <charset val="1"/>
      </rPr>
      <t xml:space="preserve">.</t>
    </r>
  </si>
  <si>
    <t xml:space="preserve">1 = 0.70% , 0 = 99.3%</t>
  </si>
  <si>
    <t xml:space="preserve">atc_J01G_aminoglycoside</t>
  </si>
  <si>
    <r>
      <rPr>
        <sz val="10"/>
        <rFont val="Noto Sans CJK SC"/>
        <family val="2"/>
      </rPr>
      <t xml:space="preserve">신독성 약 </t>
    </r>
    <r>
      <rPr>
        <sz val="10"/>
        <rFont val="Malgun Gothic"/>
        <family val="0"/>
        <charset val="1"/>
      </rPr>
      <t xml:space="preserve">10</t>
    </r>
    <r>
      <rPr>
        <sz val="10"/>
        <rFont val="Noto Sans CJK SC"/>
        <family val="2"/>
      </rPr>
      <t xml:space="preserve">군</t>
    </r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</si>
  <si>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Aminoglycoside antibiotics. ATC J01G.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근육</t>
    </r>
    <r>
      <rPr>
        <sz val="10"/>
        <rFont val="Malgun Gothic"/>
        <family val="0"/>
        <charset val="1"/>
      </rPr>
      <t xml:space="preserve">(IM) </t>
    </r>
    <r>
      <rPr>
        <sz val="10"/>
        <rFont val="Noto Sans CJK SC"/>
        <family val="2"/>
      </rPr>
      <t xml:space="preserve">처방도 인정한다</t>
    </r>
    <r>
      <rPr>
        <sz val="10"/>
        <rFont val="Malgun Gothic"/>
        <family val="0"/>
        <charset val="1"/>
      </rPr>
      <t xml:space="preserve">.</t>
    </r>
  </si>
  <si>
    <t xml:space="preserve">1 = 1.80% , 0 = 98.2%</t>
  </si>
  <si>
    <t xml:space="preserve">atc_J01XA_vancomycin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</si>
  <si>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Glycopeptide antibacterials (vancomycin). ATC J01XA.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</t>
    </r>
  </si>
  <si>
    <t xml:space="preserve">1 = 37.0% , 0 = 63.0%</t>
  </si>
  <si>
    <t xml:space="preserve">drug_pip_tazo</t>
  </si>
  <si>
    <r>
      <rPr>
        <sz val="10"/>
        <rFont val="Noto Sans CJK SC"/>
        <family val="2"/>
      </rPr>
      <t xml:space="preserve">신장 관련 약물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Piperacillin (piperacillin-tazobactam). </t>
    </r>
    <r>
      <rPr>
        <sz val="10"/>
        <rFont val="Noto Sans CJK SC"/>
        <family val="2"/>
      </rPr>
      <t xml:space="preserve">성분명으로 매칭한다</t>
    </r>
    <r>
      <rPr>
        <sz val="10"/>
        <rFont val="Malgun Gothic"/>
        <family val="0"/>
        <charset val="1"/>
      </rPr>
      <t xml:space="preserve">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</t>
    </r>
  </si>
  <si>
    <t xml:space="preserve">1 = 11.5% , 0 = 88.5%</t>
  </si>
  <si>
    <t xml:space="preserve">atc_J01XB_polymyxin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</si>
  <si>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Polymyxins (colistin). ATC J01XB.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</t>
    </r>
  </si>
  <si>
    <t xml:space="preserve">1 = 0.10% , 0 = 99.9%</t>
  </si>
  <si>
    <t xml:space="preserve">atc_J02AA_amphotericin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</si>
  <si>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Amphotericin B. ATC J02AA.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</t>
    </r>
  </si>
  <si>
    <t xml:space="preserve">1 = 0.20% , 0 = 99.8%</t>
  </si>
  <si>
    <t xml:space="preserve">atc_J05AB_nucleoside_antiviral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</si>
  <si>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Nucleoside antivirals (acyclovir. ATC J05AB.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정맥</t>
    </r>
    <r>
      <rPr>
        <sz val="10"/>
        <rFont val="Malgun Gothic"/>
        <family val="0"/>
        <charset val="1"/>
      </rPr>
      <t xml:space="preserve">(IV) </t>
    </r>
    <r>
      <rPr>
        <sz val="10"/>
        <rFont val="Noto Sans CJK SC"/>
        <family val="2"/>
      </rPr>
      <t xml:space="preserve">처방만 인정한다</t>
    </r>
    <r>
      <rPr>
        <sz val="10"/>
        <rFont val="Malgun Gothic"/>
        <family val="0"/>
        <charset val="1"/>
      </rPr>
      <t xml:space="preserve">.</t>
    </r>
  </si>
  <si>
    <t xml:space="preserve">1 = 4.20% , 0 = 95.8%</t>
  </si>
  <si>
    <t xml:space="preserve">atc_M01A_nsaid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</si>
  <si>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NSAIDs. ATC M01A.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</si>
  <si>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4.40% , 0 = 95.6%</t>
  </si>
  <si>
    <t xml:space="preserve">atc_C03C_loop_diuretic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</si>
  <si>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Loop diuretics. ATC C03C.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</si>
  <si>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30.6% , 0 = 69.4%</t>
  </si>
  <si>
    <t xml:space="preserve">atc_C09_ace_arb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</si>
  <si>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ACE inhibitors and ARBs. ATC C09.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</si>
  <si>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14.0% , 0 = 86.0%</t>
  </si>
  <si>
    <t xml:space="preserve">atc_L04AD_calcineurin</t>
  </si>
  <si>
    <r>
      <rPr>
        <sz val="10"/>
        <rFont val="Noto Sans CJK SC"/>
        <family val="2"/>
      </rPr>
      <t xml:space="preserve">신장 관련 약물군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초안</t>
    </r>
    <r>
      <rPr>
        <sz val="10"/>
        <rFont val="Malgun Gothic"/>
        <family val="0"/>
        <charset val="1"/>
      </rPr>
      <t xml:space="preserve">): Calcineurin inhibitors (tacrolimus. ATC L04AD. time zero </t>
    </r>
    <r>
      <rPr>
        <sz val="10"/>
        <rFont val="Noto Sans CJK SC"/>
        <family val="2"/>
      </rPr>
      <t xml:space="preserve">이전에 시작한 처방이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</si>
  <si>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1.50% , 0 = 98.5%</t>
  </si>
  <si>
    <t xml:space="preserve">n_kidney_relevant_classes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</si>
  <si>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처방이 있는 신장 관련 약물군의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</si>
  <si>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개</t>
    </r>
    <r>
      <rPr>
        <sz val="10"/>
        <rFont val="Malgun Gothic"/>
        <family val="0"/>
        <charset val="1"/>
      </rPr>
      <t xml:space="preserve">(0~10)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</si>
  <si>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1.00 (IQR 0.00~2.00) | 5~95% 0.00~3.00</t>
    </r>
  </si>
  <si>
    <t xml:space="preserve">atc3_A01A</t>
  </si>
  <si>
    <r>
      <rPr>
        <sz val="10"/>
        <rFont val="Noto Sans CJK SC"/>
        <family val="2"/>
      </rPr>
      <t xml:space="preserve">약 계열 </t>
    </r>
    <r>
      <rPr>
        <sz val="10"/>
        <rFont val="Malgun Gothic"/>
        <family val="0"/>
        <charset val="1"/>
      </rPr>
      <t xml:space="preserve">ATC3 </t>
    </r>
    <r>
      <rPr>
        <sz val="10"/>
        <rFont val="Noto Sans CJK SC"/>
        <family val="2"/>
      </rPr>
      <t xml:space="preserve">플래그</t>
    </r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</si>
  <si>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</si>
  <si>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69.5% , 0 = 30.5%</t>
  </si>
  <si>
    <t xml:space="preserve">atc3_A02A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</si>
  <si>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</si>
  <si>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14.9% , 0 = 85.1%</t>
  </si>
  <si>
    <t xml:space="preserve">atc3_A02B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</si>
  <si>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A02B(3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</si>
  <si>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75.1% , 0 = 24.9%</t>
  </si>
  <si>
    <t xml:space="preserve">atc3_A03B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</si>
  <si>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A03B(3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</si>
  <si>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atc3_A03F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</si>
  <si>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A03F(3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</si>
  <si>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5.70% , 0 = 94.3%</t>
  </si>
  <si>
    <t xml:space="preserve">atc3_A04A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</si>
  <si>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A04A(3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</si>
  <si>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34.5% , 0 = 65.5%</t>
  </si>
  <si>
    <t xml:space="preserve">atc3_A06A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</si>
  <si>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A06A(3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</si>
  <si>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93.8% , 0 = 6.20%</t>
  </si>
  <si>
    <t xml:space="preserve">atc3_A07A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</si>
  <si>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A07A(3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</si>
  <si>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5.30% , 0 = 94.7%</t>
  </si>
  <si>
    <t xml:space="preserve">atc3_A07D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</si>
  <si>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A07D(3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</si>
  <si>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1.10% , 0 = 98.9%</t>
  </si>
  <si>
    <t xml:space="preserve">atc3_A07E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</si>
  <si>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A07E(3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</si>
  <si>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8.30% , 0 = 91.7%</t>
  </si>
  <si>
    <t xml:space="preserve">atc3_A08A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</si>
  <si>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A08A(3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</si>
  <si>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2.90% , 0 = 97.1%</t>
  </si>
  <si>
    <t xml:space="preserve">atc3_A10A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</si>
  <si>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A10A(3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</si>
  <si>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55.9% , 0 = 44.1%</t>
  </si>
  <si>
    <t xml:space="preserve">atc3_A10B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</si>
  <si>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A10B(3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</si>
  <si>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8.60% , 0 = 91.4%</t>
  </si>
  <si>
    <t xml:space="preserve">atc3_A11C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</si>
  <si>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A11C(3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</si>
  <si>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7.20% , 0 = 92.8%</t>
  </si>
  <si>
    <t xml:space="preserve">atc3_A11D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</si>
  <si>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A11D(3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</si>
  <si>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13.0% , 0 = 87.0%</t>
  </si>
  <si>
    <t xml:space="preserve">atc3_A11G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</si>
  <si>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A11G(3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</si>
  <si>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3.30% , 0 = 96.7%</t>
  </si>
  <si>
    <t xml:space="preserve">atc3_A11H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</si>
  <si>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A11H(3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</si>
  <si>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1.20% , 0 = 98.8%</t>
  </si>
  <si>
    <t xml:space="preserve">atc3_A12A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</si>
  <si>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</si>
  <si>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62.8% , 0 = 37.2%</t>
  </si>
  <si>
    <t xml:space="preserve">atc3_A12B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</si>
  <si>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A12B(3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</si>
  <si>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77.2% , 0 = 22.8%</t>
  </si>
  <si>
    <t xml:space="preserve">atc3_A12C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</si>
  <si>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A12C(3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</si>
  <si>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96.6% , 0 = 3.40%</t>
  </si>
  <si>
    <t xml:space="preserve">atc3_B01A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</si>
  <si>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</si>
  <si>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81.5% , 0 = 18.5%</t>
  </si>
  <si>
    <t xml:space="preserve">atc3_B02B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</si>
  <si>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B02B(3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</si>
  <si>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11.1% , 0 = 88.9%</t>
  </si>
  <si>
    <t xml:space="preserve">atc3_B03A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</si>
  <si>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</si>
  <si>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15.5% , 0 = 84.5%</t>
  </si>
  <si>
    <t xml:space="preserve">atc3_B03B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</si>
  <si>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B03B(3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</si>
  <si>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14.5% , 0 = 85.5%</t>
  </si>
  <si>
    <t xml:space="preserve">atc3_B05B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</si>
  <si>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B05B(3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</si>
  <si>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atc3_B05C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</si>
  <si>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B05C(3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</si>
  <si>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97.9% , 0 = 2.10%</t>
  </si>
  <si>
    <t xml:space="preserve">atc3_B05X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</si>
  <si>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B05X(3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</si>
  <si>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97.4% , 0 = 2.60%</t>
  </si>
  <si>
    <t xml:space="preserve">atc3_C01A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</si>
  <si>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</si>
  <si>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3.10% , 0 = 96.9%</t>
  </si>
  <si>
    <t xml:space="preserve">atc3_C01B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</si>
  <si>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</si>
  <si>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25.5% , 0 = 74.5%</t>
  </si>
  <si>
    <t xml:space="preserve">atc3_C01C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</si>
  <si>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C01C(3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</si>
  <si>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35.6% , 0 = 64.4%</t>
  </si>
  <si>
    <t xml:space="preserve">atc3_C01D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</si>
  <si>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C01D(3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</si>
  <si>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11.3% , 0 = 88.7%</t>
  </si>
  <si>
    <t xml:space="preserve">atc3_C01E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</si>
  <si>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C01E(3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</si>
  <si>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2.40% , 0 = 97.6%</t>
  </si>
  <si>
    <t xml:space="preserve">atc3_C02A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</si>
  <si>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</si>
  <si>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1.60% , 0 = 98.4%</t>
  </si>
  <si>
    <t xml:space="preserve">atc3_C02D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</si>
  <si>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C02D(3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</si>
  <si>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atc3_C03A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</si>
  <si>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</si>
  <si>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2.80% , 0 = 97.2%</t>
  </si>
  <si>
    <t xml:space="preserve">atc3_C03B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</si>
  <si>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C03B(3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</si>
  <si>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atc3_C03C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</si>
  <si>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C03C(3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</si>
  <si>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atc3_C03D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</si>
  <si>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C03D(3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</si>
  <si>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2.20% , 0 = 97.8%</t>
  </si>
  <si>
    <t xml:space="preserve">atc3_C05A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</si>
  <si>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C05A(3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</si>
  <si>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51.3% , 0 = 48.7%</t>
  </si>
  <si>
    <t xml:space="preserve">atc3_C05B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</si>
  <si>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C05B(3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</si>
  <si>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69.6% , 0 = 30.4%</t>
  </si>
  <si>
    <t xml:space="preserve">atc3_C07A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</si>
  <si>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C07A(3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</si>
  <si>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44.5% , 0 = 55.5%</t>
  </si>
  <si>
    <t xml:space="preserve">atc3_C07F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</si>
  <si>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C07F(3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</si>
  <si>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31.9% , 0 = 68.1%</t>
  </si>
  <si>
    <t xml:space="preserve">atc3_C08C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</si>
  <si>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C08C(3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</si>
  <si>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21.3% , 0 = 78.7%</t>
  </si>
  <si>
    <t xml:space="preserve">atc3_C08D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</si>
  <si>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C08D(3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</si>
  <si>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6.20% , 0 = 93.8%</t>
  </si>
  <si>
    <t xml:space="preserve">atc3_C09A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</si>
  <si>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C09A(3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</si>
  <si>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10.2% , 0 = 89.8%</t>
  </si>
  <si>
    <t xml:space="preserve">atc3_C09B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</si>
  <si>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C09B(3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</si>
  <si>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8.10% , 0 = 91.9%</t>
  </si>
  <si>
    <t xml:space="preserve">atc3_C09C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</si>
  <si>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C09C(3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</si>
  <si>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3.80% , 0 = 96.2%</t>
  </si>
  <si>
    <t xml:space="preserve">atc3_C09D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</si>
  <si>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C09D(3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</si>
  <si>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9.50% , 0 = 90.5%</t>
  </si>
  <si>
    <t xml:space="preserve">atc3_C09X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</si>
  <si>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C09X(3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</si>
  <si>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8.80% , 0 = 91.2%</t>
  </si>
  <si>
    <t xml:space="preserve">atc3_C10A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</si>
  <si>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C10A(3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</si>
  <si>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atc3_C10B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</si>
  <si>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C10B(3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</si>
  <si>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37.5% , 0 = 62.5%</t>
  </si>
  <si>
    <t xml:space="preserve">atc3_D01A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</si>
  <si>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</si>
  <si>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2.30% , 0 = 97.7%</t>
  </si>
  <si>
    <t xml:space="preserve">atc3_D04A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</si>
  <si>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D04A(3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</si>
  <si>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13.6% , 0 = 86.4%</t>
  </si>
  <si>
    <t xml:space="preserve">atc3_D06A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</si>
  <si>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D06A(3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</si>
  <si>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1.70% , 0 = 98.3%</t>
  </si>
  <si>
    <t xml:space="preserve">atc3_D07A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</si>
  <si>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D07A(3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</si>
  <si>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atc3_D07X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</si>
  <si>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D07X(3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</si>
  <si>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atc3_D10A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</si>
  <si>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D10A(3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</si>
  <si>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atc3_D11A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</si>
  <si>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D11A(3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</si>
  <si>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1.30% , 0 = 98.7%</t>
  </si>
  <si>
    <t xml:space="preserve">atc3_G01A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</si>
  <si>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G01A(3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</si>
  <si>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40.4% , 0 = 59.6%</t>
  </si>
  <si>
    <t xml:space="preserve">atc3_G02C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</si>
  <si>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G02C(3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</si>
  <si>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atc3_G04B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</si>
  <si>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G04B(3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</si>
  <si>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36.6% , 0 = 63.4%</t>
  </si>
  <si>
    <t xml:space="preserve">atc3_G04C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</si>
  <si>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G04C(3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</si>
  <si>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6.60% , 0 = 93.4%</t>
  </si>
  <si>
    <t xml:space="preserve">atc3_H01B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</si>
  <si>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H01B(3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</si>
  <si>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1.40% , 0 = 98.6%</t>
  </si>
  <si>
    <t xml:space="preserve">atc3_H01C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</si>
  <si>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H01C(3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</si>
  <si>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atc3_H02A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</si>
  <si>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H02A(3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</si>
  <si>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23.2% , 0 = 76.8%</t>
  </si>
  <si>
    <t xml:space="preserve">atc3_H03A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</si>
  <si>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H03A(3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</si>
  <si>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13.2% , 0 = 86.8%</t>
  </si>
  <si>
    <t xml:space="preserve">atc3_H04A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</si>
  <si>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H04A(3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</si>
  <si>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49.5% , 0 = 50.5%</t>
  </si>
  <si>
    <t xml:space="preserve">atc3_J01A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</si>
  <si>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</si>
  <si>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2.10% , 0 = 97.9%</t>
  </si>
  <si>
    <t xml:space="preserve">atc3_J01C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</si>
  <si>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</si>
  <si>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16.1% , 0 = 83.9%</t>
  </si>
  <si>
    <t xml:space="preserve">atc3_J01D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</si>
  <si>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</si>
  <si>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47.4% , 0 = 52.6%</t>
  </si>
  <si>
    <t xml:space="preserve">atc3_J01E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</si>
  <si>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J01E(3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</si>
  <si>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3.60% , 0 = 96.4%</t>
  </si>
  <si>
    <t xml:space="preserve">atc3_J01F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</si>
  <si>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J01F(3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</si>
  <si>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11.0% , 0 = 89.0%</t>
  </si>
  <si>
    <t xml:space="preserve">atc3_J01G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</si>
  <si>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J01G(3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</si>
  <si>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atc3_J01M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</si>
  <si>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J01M(3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</si>
  <si>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9.30% , 0 = 90.7%</t>
  </si>
  <si>
    <t xml:space="preserve">atc3_J01R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</si>
  <si>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J01R(3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</si>
  <si>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12.2% , 0 = 87.8%</t>
  </si>
  <si>
    <t xml:space="preserve">atc3_J01X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</si>
  <si>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J01X(3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</si>
  <si>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41.2% , 0 = 58.8%</t>
  </si>
  <si>
    <t xml:space="preserve">atc3_J02A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</si>
  <si>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</si>
  <si>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3.40% , 0 = 96.6%</t>
  </si>
  <si>
    <t xml:space="preserve">atc3_J05A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</si>
  <si>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J05A(3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</si>
  <si>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atc3_L04A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</si>
  <si>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L04A(3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</si>
  <si>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2.60% , 0 = 97.4%</t>
  </si>
  <si>
    <t xml:space="preserve">atc3_M01A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</si>
  <si>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M01A(3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</si>
  <si>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atc3_M02A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</si>
  <si>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M02A(3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</si>
  <si>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atc3_M03A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</si>
  <si>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M03A(3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</si>
  <si>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4.70% , 0 = 95.3%</t>
  </si>
  <si>
    <t xml:space="preserve">atc3_M03B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</si>
  <si>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M03B(3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</si>
  <si>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3.00% , 0 = 97.0%</t>
  </si>
  <si>
    <t xml:space="preserve">atc3_M04A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</si>
  <si>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M04A(3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</si>
  <si>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4.60% , 0 = 95.4%</t>
  </si>
  <si>
    <t xml:space="preserve">atc3_N01A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</si>
  <si>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</si>
  <si>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43.8% , 0 = 56.2%</t>
  </si>
  <si>
    <t xml:space="preserve">atc3_N01B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</si>
  <si>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</si>
  <si>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22.9% , 0 = 77.1%</t>
  </si>
  <si>
    <t xml:space="preserve">atc3_N02A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</si>
  <si>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</si>
  <si>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94.8% , 0 = 5.20%</t>
  </si>
  <si>
    <t xml:space="preserve">atc3_N02B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</si>
  <si>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N02B(3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</si>
  <si>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85.3% , 0 = 14.7%</t>
  </si>
  <si>
    <t xml:space="preserve">atc3_N02C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</si>
  <si>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N02C(3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</si>
  <si>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atc3_N03A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</si>
  <si>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</si>
  <si>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29.3% , 0 = 70.7%</t>
  </si>
  <si>
    <t xml:space="preserve">atc3_N04B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</si>
  <si>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N04B(3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</si>
  <si>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atc3_N05A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</si>
  <si>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N05A(3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</si>
  <si>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17.6% , 0 = 82.4%</t>
  </si>
  <si>
    <t xml:space="preserve">atc3_N05B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</si>
  <si>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N05B(3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</si>
  <si>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29.9% , 0 = 70.1%</t>
  </si>
  <si>
    <t xml:space="preserve">atc3_N05C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</si>
  <si>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N05C(3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</si>
  <si>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30.1% , 0 = 69.9%</t>
  </si>
  <si>
    <t xml:space="preserve">atc3_N06A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</si>
  <si>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N06A(3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</si>
  <si>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25.0% , 0 = 75.0%</t>
  </si>
  <si>
    <t xml:space="preserve">atc3_N06B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</si>
  <si>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N06B(3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</si>
  <si>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4.00% , 0 = 96.0%</t>
  </si>
  <si>
    <t xml:space="preserve">atc3_N06D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</si>
  <si>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N06D(3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</si>
  <si>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atc3_N07A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</si>
  <si>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N07A(3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</si>
  <si>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atc3_N07B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</si>
  <si>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N07B(3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</si>
  <si>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atc3_P01A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</si>
  <si>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P01A(3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</si>
  <si>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11.2% , 0 = 88.8%</t>
  </si>
  <si>
    <t xml:space="preserve">atc3_P01B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</si>
  <si>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P01B(3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</si>
  <si>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atc3_R01A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</si>
  <si>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</si>
  <si>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49.3% , 0 = 50.7%</t>
  </si>
  <si>
    <t xml:space="preserve">atc3_R01B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</si>
  <si>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</si>
  <si>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18.6% , 0 = 81.4%</t>
  </si>
  <si>
    <t xml:space="preserve">atc3_R02A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</si>
  <si>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</si>
  <si>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48.5% , 0 = 51.5%</t>
  </si>
  <si>
    <t xml:space="preserve">atc3_R03A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</si>
  <si>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</si>
  <si>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36.0% , 0 = 64.0%</t>
  </si>
  <si>
    <t xml:space="preserve">atc3_R03B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</si>
  <si>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R03B(3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</si>
  <si>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27.1% , 0 = 72.9%</t>
  </si>
  <si>
    <t xml:space="preserve">atc3_R03C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</si>
  <si>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R03C(3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</si>
  <si>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30.5% , 0 = 69.5%</t>
  </si>
  <si>
    <t xml:space="preserve">atc3_R03D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</si>
  <si>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R03D(3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</si>
  <si>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atc3_R05C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</si>
  <si>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R05C(3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</si>
  <si>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11.9% , 0 = 88.1%</t>
  </si>
  <si>
    <t xml:space="preserve">atc3_R05D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</si>
  <si>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R05D(3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</si>
  <si>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atc3_R06A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</si>
  <si>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R06A(3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</si>
  <si>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atc3_S01A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</si>
  <si>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</si>
  <si>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2.70% , 0 = 97.3%</t>
  </si>
  <si>
    <t xml:space="preserve">atc3_S01B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</si>
  <si>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</si>
  <si>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atc3_S01C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</si>
  <si>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</si>
  <si>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atc3_S01E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</si>
  <si>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S01E(3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</si>
  <si>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atc3_S01G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</si>
  <si>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S01G(3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</si>
  <si>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atc3_S01H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</si>
  <si>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S01H(3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</si>
  <si>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atc3_S02A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</si>
  <si>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S02A(3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</si>
  <si>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atc3_S02B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</si>
  <si>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S02B(3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</si>
  <si>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atc3_S02D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</si>
  <si>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S02D(3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</si>
  <si>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atc3_S03A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</si>
  <si>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S03A(3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</si>
  <si>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atc3_V03A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</si>
  <si>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V03A(3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</si>
  <si>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atc3_V04C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</si>
  <si>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V04C(3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</si>
  <si>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92.6% , 0 = 7.40%</t>
  </si>
  <si>
    <t xml:space="preserve">atc3_V06D</t>
  </si>
  <si>
    <r>
      <rPr>
        <sz val="10"/>
        <rFont val="Malgun Gothic"/>
        <family val="0"/>
        <charset val="1"/>
      </rPr>
      <t xml:space="preserve">time zero </t>
    </r>
    <r>
      <rPr>
        <sz val="10"/>
        <rFont val="Noto Sans CJK SC"/>
        <family val="2"/>
      </rPr>
      <t xml:space="preserve">이전에 시작한 처방 중 </t>
    </r>
    <r>
      <rPr>
        <sz val="10"/>
        <rFont val="Malgun Gothic"/>
        <family val="0"/>
        <charset val="1"/>
      </rPr>
      <t xml:space="preserve">ATC V06D(3</t>
    </r>
    <r>
      <rPr>
        <sz val="10"/>
        <rFont val="Noto Sans CJK SC"/>
        <family val="2"/>
      </rPr>
      <t xml:space="preserve">단계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약물이 있으면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이다</t>
    </r>
    <r>
      <rPr>
        <sz val="10"/>
        <rFont val="Malgun Gothic"/>
        <family val="0"/>
        <charset val="1"/>
      </rPr>
      <t xml:space="preserve">.</t>
    </r>
  </si>
  <si>
    <t xml:space="preserve">1 = 78.9% , 0 = 21.1%</t>
  </si>
  <si>
    <t xml:space="preserve">bun_mean</t>
  </si>
  <si>
    <r>
      <rPr>
        <sz val="10"/>
        <rFont val="Noto Sans CJK SC"/>
        <family val="2"/>
      </rPr>
      <t xml:space="preserve">혈액요소질소</t>
    </r>
    <r>
      <rPr>
        <sz val="10"/>
        <rFont val="Malgun Gothic"/>
        <family val="0"/>
        <charset val="1"/>
      </rPr>
      <t xml:space="preserve">(BUN).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</si>
  <si>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16.5 (IQR 11.3~25.7) | 5~95% 6.62~60.3</t>
    </r>
  </si>
  <si>
    <t xml:space="preserve">bun_min</t>
  </si>
  <si>
    <r>
      <rPr>
        <sz val="10"/>
        <rFont val="Noto Sans CJK SC"/>
        <family val="2"/>
      </rPr>
      <t xml:space="preserve">혈액요소질소</t>
    </r>
    <r>
      <rPr>
        <sz val="10"/>
        <rFont val="Malgun Gothic"/>
        <family val="0"/>
        <charset val="1"/>
      </rPr>
      <t xml:space="preserve">(BUN).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</si>
  <si>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14.0 (IQR 10.0~22.0) | 5~95% 5.00~53.0</t>
    </r>
  </si>
  <si>
    <t xml:space="preserve">bun_max</t>
  </si>
  <si>
    <r>
      <rPr>
        <sz val="10"/>
        <rFont val="Noto Sans CJK SC"/>
        <family val="2"/>
      </rPr>
      <t xml:space="preserve">혈액요소질소</t>
    </r>
    <r>
      <rPr>
        <sz val="10"/>
        <rFont val="Malgun Gothic"/>
        <family val="0"/>
        <charset val="1"/>
      </rPr>
      <t xml:space="preserve">(BUN).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</si>
  <si>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19.0 (IQR 13.0~29.0) | 5~95% 8.00~69.0</t>
    </r>
  </si>
  <si>
    <t xml:space="preserve">bun_last</t>
  </si>
  <si>
    <r>
      <rPr>
        <sz val="10"/>
        <rFont val="Noto Sans CJK SC"/>
        <family val="2"/>
      </rPr>
      <t xml:space="preserve">혈액요소질소</t>
    </r>
    <r>
      <rPr>
        <sz val="10"/>
        <rFont val="Malgun Gothic"/>
        <family val="0"/>
        <charset val="1"/>
      </rPr>
      <t xml:space="preserve">(BUN).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</si>
  <si>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16.0 (IQR 11.0~25.0) | 5~95% 6.00~55.2</t>
    </r>
  </si>
  <si>
    <t xml:space="preserve">bun_n_hours_obs</t>
  </si>
  <si>
    <r>
      <rPr>
        <sz val="10"/>
        <rFont val="Noto Sans CJK SC"/>
        <family val="2"/>
      </rPr>
      <t xml:space="preserve">혈액요소질소</t>
    </r>
    <r>
      <rPr>
        <sz val="10"/>
        <rFont val="Malgun Gothic"/>
        <family val="0"/>
        <charset val="1"/>
      </rPr>
      <t xml:space="preserve">(BUN).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</si>
  <si>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기록된 시간 수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</si>
  <si>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2.00~4.00) | 5~95% 2.00~6.00</t>
    </r>
  </si>
  <si>
    <t xml:space="preserve">cl_mean</t>
  </si>
  <si>
    <r>
      <rPr>
        <sz val="10"/>
        <rFont val="Noto Sans CJK SC"/>
        <family val="2"/>
      </rPr>
      <t xml:space="preserve">염소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</si>
  <si>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t xml:space="preserve">mEq/L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</si>
  <si>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104 (IQR 101~108) | 5~95% 94.0~113</t>
    </r>
  </si>
  <si>
    <t xml:space="preserve">cl_min</t>
  </si>
  <si>
    <r>
      <rPr>
        <sz val="10"/>
        <rFont val="Noto Sans CJK SC"/>
        <family val="2"/>
      </rPr>
      <t xml:space="preserve">염소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</si>
  <si>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102 (IQR 98.0~105) | 5~95% 91.0~110</t>
    </r>
  </si>
  <si>
    <t xml:space="preserve">cl_max</t>
  </si>
  <si>
    <r>
      <rPr>
        <sz val="10"/>
        <rFont val="Noto Sans CJK SC"/>
        <family val="2"/>
      </rPr>
      <t xml:space="preserve">염소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</si>
  <si>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106 (IQR 103~110) | 5~95% 96.0~117</t>
    </r>
  </si>
  <si>
    <t xml:space="preserve">cl_last</t>
  </si>
  <si>
    <r>
      <rPr>
        <sz val="10"/>
        <rFont val="Noto Sans CJK SC"/>
        <family val="2"/>
      </rPr>
      <t xml:space="preserve">염소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</si>
  <si>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104 (IQR 101~108) | 5~95% 94.0~115</t>
    </r>
  </si>
  <si>
    <t xml:space="preserve">cl_n_hours_obs</t>
  </si>
  <si>
    <r>
      <rPr>
        <sz val="10"/>
        <rFont val="Noto Sans CJK SC"/>
        <family val="2"/>
      </rPr>
      <t xml:space="preserve">염소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</si>
  <si>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2.00~5.00) | 5~95% 2.00~8.00</t>
    </r>
  </si>
  <si>
    <t xml:space="preserve">creatinine_mean</t>
  </si>
  <si>
    <r>
      <rPr>
        <sz val="10"/>
        <rFont val="Noto Sans CJK SC"/>
        <family val="2"/>
      </rPr>
      <t xml:space="preserve">혈청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</si>
  <si>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0.83 (IQR 0.65~1.13) | 5~95% 0.46~2.37</t>
    </r>
  </si>
  <si>
    <t xml:space="preserve">creatinine_min</t>
  </si>
  <si>
    <r>
      <rPr>
        <sz val="10"/>
        <rFont val="Noto Sans CJK SC"/>
        <family val="2"/>
      </rPr>
      <t xml:space="preserve">혈청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</si>
  <si>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0.80 (IQR 0.60~1.00) | 5~95% 0.40~2.10</t>
    </r>
  </si>
  <si>
    <t xml:space="preserve">creatinine_max</t>
  </si>
  <si>
    <r>
      <rPr>
        <sz val="10"/>
        <rFont val="Noto Sans CJK SC"/>
        <family val="2"/>
      </rPr>
      <t xml:space="preserve">혈청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</si>
  <si>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0.90 (IQR 0.70~1.20) | 5~95% 0.50~2.70</t>
    </r>
  </si>
  <si>
    <t xml:space="preserve">creatinine_last</t>
  </si>
  <si>
    <r>
      <rPr>
        <sz val="10"/>
        <rFont val="Noto Sans CJK SC"/>
        <family val="2"/>
      </rPr>
      <t xml:space="preserve">혈청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</si>
  <si>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0.80 (IQR 0.60~1.10) | 5~95% 0.40~2.10</t>
    </r>
  </si>
  <si>
    <t xml:space="preserve">creatinine_n_hours_obs</t>
  </si>
  <si>
    <r>
      <rPr>
        <sz val="10"/>
        <rFont val="Noto Sans CJK SC"/>
        <family val="2"/>
      </rPr>
      <t xml:space="preserve">혈청 크레아티닌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</si>
  <si>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t xml:space="preserve">dbp_mean</t>
  </si>
  <si>
    <t xml:space="preserve">활력징후</t>
  </si>
  <si>
    <r>
      <rPr>
        <sz val="10"/>
        <rFont val="Noto Sans CJK SC"/>
        <family val="2"/>
      </rPr>
      <t xml:space="preserve">이완기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</si>
  <si>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t xml:space="preserve">mmHg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</si>
  <si>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64.7 (IQR 58.1~72.8) | 5~95% 49.7~86.0</t>
    </r>
  </si>
  <si>
    <t xml:space="preserve">dbp_min</t>
  </si>
  <si>
    <r>
      <rPr>
        <sz val="10"/>
        <rFont val="Noto Sans CJK SC"/>
        <family val="2"/>
      </rPr>
      <t xml:space="preserve">이완기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</si>
  <si>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47.0 (IQR 41.0~54.0) | 5~95% 32.0~66.0</t>
    </r>
  </si>
  <si>
    <t xml:space="preserve">dbp_max</t>
  </si>
  <si>
    <r>
      <rPr>
        <sz val="10"/>
        <rFont val="Noto Sans CJK SC"/>
        <family val="2"/>
      </rPr>
      <t xml:space="preserve">이완기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</si>
  <si>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92.0 (IQR 80.0~106) | 5~95% 67.0~131</t>
    </r>
  </si>
  <si>
    <t xml:space="preserve">dbp_last</t>
  </si>
  <si>
    <r>
      <rPr>
        <sz val="10"/>
        <rFont val="Noto Sans CJK SC"/>
        <family val="2"/>
      </rPr>
      <t xml:space="preserve">이완기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</si>
  <si>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65.0 (IQR 56.0~76.0) | 5~95% 45.0~94.0</t>
    </r>
  </si>
  <si>
    <t xml:space="preserve">dbp_n_hours_obs</t>
  </si>
  <si>
    <r>
      <rPr>
        <sz val="10"/>
        <rFont val="Noto Sans CJK SC"/>
        <family val="2"/>
      </rPr>
      <t xml:space="preserve">이완기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</si>
  <si>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45.0 (IQR 41.0~46.0) | 5~95% 23.0~48.0</t>
    </r>
  </si>
  <si>
    <t xml:space="preserve">drain_ml_total</t>
  </si>
  <si>
    <r>
      <rPr>
        <sz val="10"/>
        <rFont val="Noto Sans CJK SC"/>
        <family val="2"/>
      </rPr>
      <t xml:space="preserve">배액량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시간의 합계이다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</si>
  <si>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468 (IQR 217~954) | 5~95% 37.6~2417</t>
    </r>
  </si>
  <si>
    <t xml:space="preserve">drain_ml_n_hours_obs</t>
  </si>
  <si>
    <r>
      <rPr>
        <sz val="10"/>
        <rFont val="Noto Sans CJK SC"/>
        <family val="2"/>
      </rPr>
      <t xml:space="preserve">배액량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</si>
  <si>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0.00~0.00) | 5~95% 0.00~30.0</t>
    </r>
  </si>
  <si>
    <t xml:space="preserve">hco3_mean</t>
  </si>
  <si>
    <r>
      <rPr>
        <sz val="10"/>
        <rFont val="Noto Sans CJK SC"/>
        <family val="2"/>
      </rPr>
      <t xml:space="preserve">중탄산염</t>
    </r>
    <r>
      <rPr>
        <sz val="10"/>
        <rFont val="Malgun Gothic"/>
        <family val="0"/>
        <charset val="1"/>
      </rPr>
      <t xml:space="preserve">(HCO3).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</si>
  <si>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23.5 (IQR 21.5~25.8) | 5~95% 18.0~31.0</t>
    </r>
  </si>
  <si>
    <t xml:space="preserve">hco3_min</t>
  </si>
  <si>
    <r>
      <rPr>
        <sz val="10"/>
        <rFont val="Noto Sans CJK SC"/>
        <family val="2"/>
      </rPr>
      <t xml:space="preserve">중탄산염</t>
    </r>
    <r>
      <rPr>
        <sz val="10"/>
        <rFont val="Malgun Gothic"/>
        <family val="0"/>
        <charset val="1"/>
      </rPr>
      <t xml:space="preserve">(HCO3).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</si>
  <si>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22.0 (IQR 20.0~24.0) | 5~95% 16.0~29.0</t>
    </r>
  </si>
  <si>
    <t xml:space="preserve">hco3_max</t>
  </si>
  <si>
    <r>
      <rPr>
        <sz val="10"/>
        <rFont val="Noto Sans CJK SC"/>
        <family val="2"/>
      </rPr>
      <t xml:space="preserve">중탄산염</t>
    </r>
    <r>
      <rPr>
        <sz val="10"/>
        <rFont val="Malgun Gothic"/>
        <family val="0"/>
        <charset val="1"/>
      </rPr>
      <t xml:space="preserve">(HCO3).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</si>
  <si>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25.0 (IQR 23.0~28.0) | 5~95% 20.0~33.0</t>
    </r>
  </si>
  <si>
    <t xml:space="preserve">hco3_last</t>
  </si>
  <si>
    <r>
      <rPr>
        <sz val="10"/>
        <rFont val="Noto Sans CJK SC"/>
        <family val="2"/>
      </rPr>
      <t xml:space="preserve">중탄산염</t>
    </r>
    <r>
      <rPr>
        <sz val="10"/>
        <rFont val="Malgun Gothic"/>
        <family val="0"/>
        <charset val="1"/>
      </rPr>
      <t xml:space="preserve">(HCO3).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</si>
  <si>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24.0 (IQR 22.0~27.0) | 5~95% 18.0~32.0</t>
    </r>
  </si>
  <si>
    <t xml:space="preserve">hco3_n_hours_obs</t>
  </si>
  <si>
    <r>
      <rPr>
        <sz val="10"/>
        <rFont val="Noto Sans CJK SC"/>
        <family val="2"/>
      </rPr>
      <t xml:space="preserve">중탄산염</t>
    </r>
    <r>
      <rPr>
        <sz val="10"/>
        <rFont val="Malgun Gothic"/>
        <family val="0"/>
        <charset val="1"/>
      </rPr>
      <t xml:space="preserve">(HCO3).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</si>
  <si>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2.00~4.00) | 5~95% 2.00~7.00</t>
    </r>
  </si>
  <si>
    <t xml:space="preserve">hr_mean</t>
  </si>
  <si>
    <r>
      <rPr>
        <sz val="10"/>
        <rFont val="Noto Sans CJK SC"/>
        <family val="2"/>
      </rPr>
      <t xml:space="preserve">심박수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</si>
  <si>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회</t>
    </r>
    <r>
      <rPr>
        <sz val="10"/>
        <rFont val="Malgun Gothic"/>
        <family val="0"/>
        <charset val="1"/>
      </rPr>
      <t xml:space="preserve">/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</si>
  <si>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83.5 (IQR 73.4~95.1) | 5~95% 61.3~112</t>
    </r>
  </si>
  <si>
    <t xml:space="preserve">hr_min</t>
  </si>
  <si>
    <r>
      <rPr>
        <sz val="10"/>
        <rFont val="Noto Sans CJK SC"/>
        <family val="2"/>
      </rPr>
      <t xml:space="preserve">심박수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</si>
  <si>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66.0 (IQR 57.0~76.6) | 5~95% 46.0~93.0</t>
    </r>
  </si>
  <si>
    <t xml:space="preserve">hr_max</t>
  </si>
  <si>
    <r>
      <rPr>
        <sz val="10"/>
        <rFont val="Noto Sans CJK SC"/>
        <family val="2"/>
      </rPr>
      <t xml:space="preserve">심박수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</si>
  <si>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107 (IQR 94.0~122) | 5~95% 78.0~145</t>
    </r>
  </si>
  <si>
    <t xml:space="preserve">hr_last</t>
  </si>
  <si>
    <r>
      <rPr>
        <sz val="10"/>
        <rFont val="Noto Sans CJK SC"/>
        <family val="2"/>
      </rPr>
      <t xml:space="preserve">심박수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</si>
  <si>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83.0 (IQR 71.0~96.0) | 5~95% 57.0~117</t>
    </r>
  </si>
  <si>
    <t xml:space="preserve">hr_n_hours_obs</t>
  </si>
  <si>
    <r>
      <rPr>
        <sz val="10"/>
        <rFont val="Noto Sans CJK SC"/>
        <family val="2"/>
      </rPr>
      <t xml:space="preserve">심박수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</si>
  <si>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46.0 (IQR 44.0~47.0) | 5~95% 35.0~48.0</t>
    </r>
  </si>
  <si>
    <t xml:space="preserve">intake_ml_total</t>
  </si>
  <si>
    <r>
      <rPr>
        <sz val="10"/>
        <rFont val="Noto Sans CJK SC"/>
        <family val="2"/>
      </rPr>
      <t xml:space="preserve">수액과 주입액 섭취량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시간의 합계이다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</si>
  <si>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5772 (IQR 3562~8858) | 5~95% 1693~14967</t>
    </r>
  </si>
  <si>
    <t xml:space="preserve">intake_ml_n_hours_obs</t>
  </si>
  <si>
    <r>
      <rPr>
        <sz val="10"/>
        <rFont val="Noto Sans CJK SC"/>
        <family val="2"/>
      </rPr>
      <t xml:space="preserve">수액과 주입액 섭취량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</si>
  <si>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45.0 (IQR 29.0~48.0) | 5~95% 0.00~48.0</t>
    </r>
  </si>
  <si>
    <t xml:space="preserve">k_mean</t>
  </si>
  <si>
    <r>
      <rPr>
        <sz val="10"/>
        <rFont val="Noto Sans CJK SC"/>
        <family val="2"/>
      </rPr>
      <t xml:space="preserve">칼륨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</si>
  <si>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4.00 (IQR 3.75~4.27) | 5~95% 3.40~4.80</t>
    </r>
  </si>
  <si>
    <t xml:space="preserve">k_min</t>
  </si>
  <si>
    <r>
      <rPr>
        <sz val="10"/>
        <rFont val="Noto Sans CJK SC"/>
        <family val="2"/>
      </rPr>
      <t xml:space="preserve">칼륨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</si>
  <si>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3.60 (IQR 3.40~3.90) | 5~95% 2.90~4.40</t>
    </r>
  </si>
  <si>
    <t xml:space="preserve">k_max</t>
  </si>
  <si>
    <r>
      <rPr>
        <sz val="10"/>
        <rFont val="Noto Sans CJK SC"/>
        <family val="2"/>
      </rPr>
      <t xml:space="preserve">칼륨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</si>
  <si>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4.30 (IQR 4.00~4.70) | 5~95% 3.60~5.70</t>
    </r>
  </si>
  <si>
    <t xml:space="preserve">k_last</t>
  </si>
  <si>
    <r>
      <rPr>
        <sz val="10"/>
        <rFont val="Noto Sans CJK SC"/>
        <family val="2"/>
      </rPr>
      <t xml:space="preserve">칼륨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</si>
  <si>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3.90 (IQR 3.70~4.20) | 5~95% 3.30~4.70</t>
    </r>
  </si>
  <si>
    <t xml:space="preserve">k_n_hours_obs</t>
  </si>
  <si>
    <r>
      <rPr>
        <sz val="10"/>
        <rFont val="Noto Sans CJK SC"/>
        <family val="2"/>
      </rPr>
      <t xml:space="preserve">칼륨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</si>
  <si>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2.00~5.00) | 5~95% 2.00~10.0</t>
    </r>
  </si>
  <si>
    <t xml:space="preserve">mbp_mean</t>
  </si>
  <si>
    <r>
      <rPr>
        <sz val="10"/>
        <rFont val="Noto Sans CJK SC"/>
        <family val="2"/>
      </rPr>
      <t xml:space="preserve">평균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</si>
  <si>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80.5 (IQR 73.5~88.7) | 5~95% 65.8~102</t>
    </r>
  </si>
  <si>
    <t xml:space="preserve">mbp_min</t>
  </si>
  <si>
    <r>
      <rPr>
        <sz val="10"/>
        <rFont val="Noto Sans CJK SC"/>
        <family val="2"/>
      </rPr>
      <t xml:space="preserve">평균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</si>
  <si>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61.0 (IQR 55.0~68.0) | 5~95% 45.0~81.0</t>
    </r>
  </si>
  <si>
    <t xml:space="preserve">mbp_max</t>
  </si>
  <si>
    <r>
      <rPr>
        <sz val="10"/>
        <rFont val="Noto Sans CJK SC"/>
        <family val="2"/>
      </rPr>
      <t xml:space="preserve">평균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</si>
  <si>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107 (IQR 96.0~120) | 5~95% 83.0~146</t>
    </r>
  </si>
  <si>
    <t xml:space="preserve">mbp_last</t>
  </si>
  <si>
    <r>
      <rPr>
        <sz val="10"/>
        <rFont val="Noto Sans CJK SC"/>
        <family val="2"/>
      </rPr>
      <t xml:space="preserve">평균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</si>
  <si>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81.0 (IQR 72.0~92.5) | 5~95% 60.5~110</t>
    </r>
  </si>
  <si>
    <t xml:space="preserve">mbp_n_hours_obs</t>
  </si>
  <si>
    <r>
      <rPr>
        <sz val="10"/>
        <rFont val="Noto Sans CJK SC"/>
        <family val="2"/>
      </rPr>
      <t xml:space="preserve">평균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</si>
  <si>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45.0 (IQR 41.0~46.0) | 5~95% 22.0~48.0</t>
    </r>
  </si>
  <si>
    <t xml:space="preserve">mg_mean</t>
  </si>
  <si>
    <r>
      <rPr>
        <sz val="10"/>
        <rFont val="Noto Sans CJK SC"/>
        <family val="2"/>
      </rPr>
      <t xml:space="preserve">마그네슘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</si>
  <si>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2.00 (IQR 1.88~2.15) | 5~95% 1.70~2.45</t>
    </r>
  </si>
  <si>
    <t xml:space="preserve">mg_min</t>
  </si>
  <si>
    <r>
      <rPr>
        <sz val="10"/>
        <rFont val="Noto Sans CJK SC"/>
        <family val="2"/>
      </rPr>
      <t xml:space="preserve">마그네슘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</si>
  <si>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1.80 (IQR 1.70~2.00) | 5~95% 1.40~2.30</t>
    </r>
  </si>
  <si>
    <t xml:space="preserve">mg_max</t>
  </si>
  <si>
    <r>
      <rPr>
        <sz val="10"/>
        <rFont val="Noto Sans CJK SC"/>
        <family val="2"/>
      </rPr>
      <t xml:space="preserve">마그네슘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</si>
  <si>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2.20 (IQR 2.00~2.40) | 5~95% 1.80~2.90</t>
    </r>
  </si>
  <si>
    <t xml:space="preserve">mg_last</t>
  </si>
  <si>
    <r>
      <rPr>
        <sz val="10"/>
        <rFont val="Noto Sans CJK SC"/>
        <family val="2"/>
      </rPr>
      <t xml:space="preserve">마그네슘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</si>
  <si>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2.00 (IQR 1.90~2.20) | 5~95% 1.70~2.50</t>
    </r>
  </si>
  <si>
    <t xml:space="preserve">mg_n_hours_obs</t>
  </si>
  <si>
    <r>
      <rPr>
        <sz val="10"/>
        <rFont val="Noto Sans CJK SC"/>
        <family val="2"/>
      </rPr>
      <t xml:space="preserve">마그네슘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</si>
  <si>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t xml:space="preserve">na_mean</t>
  </si>
  <si>
    <r>
      <rPr>
        <sz val="10"/>
        <rFont val="Noto Sans CJK SC"/>
        <family val="2"/>
      </rPr>
      <t xml:space="preserve">나트륨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</si>
  <si>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139 (IQR 136~142) | 5~95% 131~146</t>
    </r>
  </si>
  <si>
    <t xml:space="preserve">na_min</t>
  </si>
  <si>
    <r>
      <rPr>
        <sz val="10"/>
        <rFont val="Noto Sans CJK SC"/>
        <family val="2"/>
      </rPr>
      <t xml:space="preserve">나트륨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</si>
  <si>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137 (IQR 134~140) | 5~95% 128~144</t>
    </r>
  </si>
  <si>
    <t xml:space="preserve">na_max</t>
  </si>
  <si>
    <r>
      <rPr>
        <sz val="10"/>
        <rFont val="Noto Sans CJK SC"/>
        <family val="2"/>
      </rPr>
      <t xml:space="preserve">나트륨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</si>
  <si>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141 (IQR 138~143) | 5~95% 133~150</t>
    </r>
  </si>
  <si>
    <t xml:space="preserve">na_last</t>
  </si>
  <si>
    <r>
      <rPr>
        <sz val="10"/>
        <rFont val="Noto Sans CJK SC"/>
        <family val="2"/>
      </rPr>
      <t xml:space="preserve">나트륨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</si>
  <si>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139 (IQR 136~142) | 5~95% 131~147</t>
    </r>
  </si>
  <si>
    <t xml:space="preserve">na_n_hours_obs</t>
  </si>
  <si>
    <r>
      <rPr>
        <sz val="10"/>
        <rFont val="Noto Sans CJK SC"/>
        <family val="2"/>
      </rPr>
      <t xml:space="preserve">나트륨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화학검사 값과 전혈 값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</si>
  <si>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2.00~5.00) | 5~95% 2.00~9.00</t>
    </r>
  </si>
  <si>
    <t xml:space="preserve">other_output_ml_total</t>
  </si>
  <si>
    <r>
      <rPr>
        <sz val="10"/>
        <rFont val="Noto Sans CJK SC"/>
        <family val="2"/>
      </rPr>
      <t xml:space="preserve">기타 배출량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대변이 아닌 모든 항목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시간의 합계이다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</si>
  <si>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250 (IQR 100~500) | 5~95% 20.0~1475</t>
    </r>
  </si>
  <si>
    <t xml:space="preserve">other_output_ml_n_hours_obs</t>
  </si>
  <si>
    <r>
      <rPr>
        <sz val="10"/>
        <rFont val="Noto Sans CJK SC"/>
        <family val="2"/>
      </rPr>
      <t xml:space="preserve">기타 배출량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소변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배액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대변이 아닌 모든 항목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</si>
  <si>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0.00~0.00) | 5~95% 0.00~3.00</t>
    </r>
  </si>
  <si>
    <t xml:space="preserve">phosphate_mean</t>
  </si>
  <si>
    <r>
      <rPr>
        <sz val="10"/>
        <rFont val="Noto Sans CJK SC"/>
        <family val="2"/>
      </rPr>
      <t xml:space="preserve">인산염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</si>
  <si>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3.16 (IQR 2.70~3.70) | 5~95% 2.08~4.73</t>
    </r>
  </si>
  <si>
    <t xml:space="preserve">phosphate_min</t>
  </si>
  <si>
    <r>
      <rPr>
        <sz val="10"/>
        <rFont val="Noto Sans CJK SC"/>
        <family val="2"/>
      </rPr>
      <t xml:space="preserve">인산염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</si>
  <si>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2.70 (IQR 2.20~3.30) | 5~95% 1.40~4.20</t>
    </r>
  </si>
  <si>
    <t xml:space="preserve">phosphate_max</t>
  </si>
  <si>
    <r>
      <rPr>
        <sz val="10"/>
        <rFont val="Noto Sans CJK SC"/>
        <family val="2"/>
      </rPr>
      <t xml:space="preserve">인산염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</si>
  <si>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3.60 (IQR 3.10~4.30) | 5~95% 2.40~5.70</t>
    </r>
  </si>
  <si>
    <t xml:space="preserve">phosphate_last</t>
  </si>
  <si>
    <r>
      <rPr>
        <sz val="10"/>
        <rFont val="Noto Sans CJK SC"/>
        <family val="2"/>
      </rPr>
      <t xml:space="preserve">인산염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</si>
  <si>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2.40~3.60) | 5~95% 1.70~4.70</t>
    </r>
  </si>
  <si>
    <t xml:space="preserve">phosphate_n_hours_obs</t>
  </si>
  <si>
    <r>
      <rPr>
        <sz val="10"/>
        <rFont val="Noto Sans CJK SC"/>
        <family val="2"/>
      </rPr>
      <t xml:space="preserve">인산염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</si>
  <si>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3.00 (IQR 2.00~4.00) | 5~95% 1.00~6.00</t>
    </r>
  </si>
  <si>
    <t xml:space="preserve">rr_mean</t>
  </si>
  <si>
    <r>
      <rPr>
        <sz val="10"/>
        <rFont val="Noto Sans CJK SC"/>
        <family val="2"/>
      </rPr>
      <t xml:space="preserve">호흡수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</si>
  <si>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19.0 (IQR 16.8~21.7) | 5~95% 14.5~26.8</t>
    </r>
  </si>
  <si>
    <t xml:space="preserve">rr_min</t>
  </si>
  <si>
    <r>
      <rPr>
        <sz val="10"/>
        <rFont val="Noto Sans CJK SC"/>
        <family val="2"/>
      </rPr>
      <t xml:space="preserve">호흡수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</si>
  <si>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12.0 (IQR 10.0~14.0) | 5~95% 6.00~18.0</t>
    </r>
  </si>
  <si>
    <t xml:space="preserve">rr_max</t>
  </si>
  <si>
    <r>
      <rPr>
        <sz val="10"/>
        <rFont val="Noto Sans CJK SC"/>
        <family val="2"/>
      </rPr>
      <t xml:space="preserve">호흡수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</si>
  <si>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29.0 (IQR 25.0~33.0) | 5~95% 21.0~42.0</t>
    </r>
  </si>
  <si>
    <t xml:space="preserve">rr_last</t>
  </si>
  <si>
    <r>
      <rPr>
        <sz val="10"/>
        <rFont val="Noto Sans CJK SC"/>
        <family val="2"/>
      </rPr>
      <t xml:space="preserve">호흡수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</si>
  <si>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19.0 (IQR 16.0~23.0) | 5~95% 12.0~30.0</t>
    </r>
  </si>
  <si>
    <t xml:space="preserve">rr_n_hours_obs</t>
  </si>
  <si>
    <r>
      <rPr>
        <sz val="10"/>
        <rFont val="Noto Sans CJK SC"/>
        <family val="2"/>
      </rPr>
      <t xml:space="preserve">호흡수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</si>
  <si>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46.0 (IQR 43.0~47.0) | 5~95% 32.0~48.0</t>
    </r>
  </si>
  <si>
    <t xml:space="preserve">sbp_mean</t>
  </si>
  <si>
    <r>
      <rPr>
        <sz val="10"/>
        <rFont val="Noto Sans CJK SC"/>
        <family val="2"/>
      </rPr>
      <t xml:space="preserve">수축기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</si>
  <si>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120 (IQR 109~132) | 5~95% 97.5~150</t>
    </r>
  </si>
  <si>
    <t xml:space="preserve">sbp_min</t>
  </si>
  <si>
    <r>
      <rPr>
        <sz val="10"/>
        <rFont val="Noto Sans CJK SC"/>
        <family val="2"/>
      </rPr>
      <t xml:space="preserve">수축기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</si>
  <si>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92.0 (IQR 83.0~102) | 5~95% 72.0~119</t>
    </r>
  </si>
  <si>
    <t xml:space="preserve">sbp_max</t>
  </si>
  <si>
    <r>
      <rPr>
        <sz val="10"/>
        <rFont val="Noto Sans CJK SC"/>
        <family val="2"/>
      </rPr>
      <t xml:space="preserve">수축기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</si>
  <si>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152 (IQR 137~166) | 5~95% 119~190</t>
    </r>
  </si>
  <si>
    <t xml:space="preserve">sbp_last</t>
  </si>
  <si>
    <r>
      <rPr>
        <sz val="10"/>
        <rFont val="Noto Sans CJK SC"/>
        <family val="2"/>
      </rPr>
      <t xml:space="preserve">수축기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</si>
  <si>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122 (IQR 106~137) | 5~95% 91.0~160</t>
    </r>
  </si>
  <si>
    <t xml:space="preserve">sbp_n_hours_obs</t>
  </si>
  <si>
    <r>
      <rPr>
        <sz val="10"/>
        <rFont val="Noto Sans CJK SC"/>
        <family val="2"/>
      </rPr>
      <t xml:space="preserve">수축기 혈압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비침습 혈압과 동맥 혈압의 평균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</si>
  <si>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t xml:space="preserve">stool_ml_total</t>
  </si>
  <si>
    <r>
      <rPr>
        <sz val="10"/>
        <rFont val="Noto Sans CJK SC"/>
        <family val="2"/>
      </rPr>
      <t xml:space="preserve">대변량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장루 배출량 포함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시간의 합계이다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</si>
  <si>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500 (IQR 150~1300) | 5~95% 0.00~3860</t>
    </r>
  </si>
  <si>
    <t xml:space="preserve">stool_ml_n_hours_obs</t>
  </si>
  <si>
    <r>
      <rPr>
        <sz val="10"/>
        <rFont val="Noto Sans CJK SC"/>
        <family val="2"/>
      </rPr>
      <t xml:space="preserve">대변량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장루 배출량 포함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</si>
  <si>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0.00~0.00) | 5~95% 0.00~1.00</t>
    </r>
  </si>
  <si>
    <t xml:space="preserve">temp_c_mean</t>
  </si>
  <si>
    <r>
      <rPr>
        <sz val="10"/>
        <rFont val="Noto Sans CJK SC"/>
        <family val="2"/>
      </rPr>
      <t xml:space="preserve">체온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화씨 값은 섭씨로 변환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</si>
  <si>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t xml:space="preserve">°C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</si>
  <si>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36.9 (IQR 36.7~37.2) | 5~95% 36.4~37.8</t>
    </r>
  </si>
  <si>
    <t xml:space="preserve">temp_c_min</t>
  </si>
  <si>
    <r>
      <rPr>
        <sz val="10"/>
        <rFont val="Noto Sans CJK SC"/>
        <family val="2"/>
      </rPr>
      <t xml:space="preserve">체온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화씨 값은 섭씨로 변환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</si>
  <si>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36.4 (IQR 36.2~36.6) | 5~95% 35.3~36.9</t>
    </r>
  </si>
  <si>
    <t xml:space="preserve">temp_c_max</t>
  </si>
  <si>
    <r>
      <rPr>
        <sz val="10"/>
        <rFont val="Noto Sans CJK SC"/>
        <family val="2"/>
      </rPr>
      <t xml:space="preserve">체온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화씨 값은 섭씨로 변환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</si>
  <si>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37.4 (IQR 37.1~38.0) | 5~95% 36.8~39.2</t>
    </r>
  </si>
  <si>
    <t xml:space="preserve">temp_c_last</t>
  </si>
  <si>
    <r>
      <rPr>
        <sz val="10"/>
        <rFont val="Noto Sans CJK SC"/>
        <family val="2"/>
      </rPr>
      <t xml:space="preserve">체온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화씨 값은 섭씨로 변환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</si>
  <si>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36.9 (IQR 36.7~37.2) | 5~95% 36.2~37.9</t>
    </r>
  </si>
  <si>
    <t xml:space="preserve">temp_c_n_hours_obs</t>
  </si>
  <si>
    <r>
      <rPr>
        <sz val="10"/>
        <rFont val="Noto Sans CJK SC"/>
        <family val="2"/>
      </rPr>
      <t xml:space="preserve">체온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화씨 값은 섭씨로 변환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</si>
  <si>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12.0 (IQR 11.0~14.0) | 5~95% 9.00~23.0</t>
    </r>
  </si>
  <si>
    <t xml:space="preserve">urine_creat_mean</t>
  </si>
  <si>
    <r>
      <rPr>
        <sz val="10"/>
        <rFont val="Noto Sans CJK SC"/>
        <family val="2"/>
      </rPr>
      <t xml:space="preserve">소변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</si>
  <si>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58.0 (IQR 31.0~90.0) | 5~95% 12.9~158</t>
    </r>
  </si>
  <si>
    <t xml:space="preserve">urine_creat_min</t>
  </si>
  <si>
    <r>
      <rPr>
        <sz val="10"/>
        <rFont val="Noto Sans CJK SC"/>
        <family val="2"/>
      </rPr>
      <t xml:space="preserve">소변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</si>
  <si>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55.0 (IQR 28.0~88.0) | 5~95% 11.0~155</t>
    </r>
  </si>
  <si>
    <t xml:space="preserve">urine_creat_max</t>
  </si>
  <si>
    <r>
      <rPr>
        <sz val="10"/>
        <rFont val="Noto Sans CJK SC"/>
        <family val="2"/>
      </rPr>
      <t xml:space="preserve">소변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</si>
  <si>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60.0 (IQR 32.0~94.0) | 5~95% 13.0~168</t>
    </r>
  </si>
  <si>
    <t xml:space="preserve">urine_creat_last</t>
  </si>
  <si>
    <r>
      <rPr>
        <sz val="10"/>
        <rFont val="Noto Sans CJK SC"/>
        <family val="2"/>
      </rPr>
      <t xml:space="preserve">소변 크레아티닌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</si>
  <si>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58.0 (IQR 30.0~91.0) | 5~95% 12.0~162</t>
    </r>
  </si>
  <si>
    <t xml:space="preserve">urine_creat_n_hours_obs</t>
  </si>
  <si>
    <r>
      <rPr>
        <sz val="10"/>
        <rFont val="Noto Sans CJK SC"/>
        <family val="2"/>
      </rPr>
      <t xml:space="preserve">소변 크레아티닌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</si>
  <si>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t xml:space="preserve">urine_ml_total</t>
  </si>
  <si>
    <r>
      <rPr>
        <sz val="10"/>
        <rFont val="Noto Sans CJK SC"/>
        <family val="2"/>
      </rPr>
      <t xml:space="preserve">소변량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시간의 합계이다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</si>
  <si>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3915 (IQR 2600~5590) | 5~95% 1050~8762</t>
    </r>
  </si>
  <si>
    <t xml:space="preserve">urine_ml_n_hours_obs</t>
  </si>
  <si>
    <r>
      <rPr>
        <sz val="10"/>
        <rFont val="Noto Sans CJK SC"/>
        <family val="2"/>
      </rPr>
      <t xml:space="preserve">소변량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</si>
  <si>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22.0 (IQR 10.0~35.0) | 5~95% 3.00~43.0</t>
    </r>
  </si>
  <si>
    <t xml:space="preserve">urine_ml_kg_h_mean</t>
  </si>
  <si>
    <r>
      <rPr>
        <sz val="10"/>
        <rFont val="Noto Sans CJK SC"/>
        <family val="2"/>
      </rPr>
      <t xml:space="preserve">소변량 속도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체중 </t>
    </r>
    <r>
      <rPr>
        <sz val="10"/>
        <rFont val="Malgun Gothic"/>
        <family val="0"/>
        <charset val="1"/>
      </rPr>
      <t xml:space="preserve">1 kg</t>
    </r>
    <r>
      <rPr>
        <sz val="10"/>
        <rFont val="Noto Sans CJK SC"/>
        <family val="2"/>
      </rPr>
      <t xml:space="preserve">당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</si>
  <si>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1.28 (IQR 0.93~1.74) | 5~95% 0.56~2.74</t>
    </r>
  </si>
  <si>
    <t xml:space="preserve">urine_ml_kg_h_last</t>
  </si>
  <si>
    <r>
      <rPr>
        <sz val="10"/>
        <rFont val="Noto Sans CJK SC"/>
        <family val="2"/>
      </rPr>
      <t xml:space="preserve">소변량 속도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체중 </t>
    </r>
    <r>
      <rPr>
        <sz val="10"/>
        <rFont val="Malgun Gothic"/>
        <family val="0"/>
        <charset val="1"/>
      </rPr>
      <t xml:space="preserve">1 kg</t>
    </r>
    <r>
      <rPr>
        <sz val="10"/>
        <rFont val="Noto Sans CJK SC"/>
        <family val="2"/>
      </rPr>
      <t xml:space="preserve">당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</si>
  <si>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1.09 (IQR 0.66~1.89) | 5~95% 0.32~4.35</t>
    </r>
  </si>
  <si>
    <t xml:space="preserve">urine_ml_kg_h_n_hours_obs</t>
  </si>
  <si>
    <r>
      <rPr>
        <sz val="10"/>
        <rFont val="Noto Sans CJK SC"/>
        <family val="2"/>
      </rPr>
      <t xml:space="preserve">소변량 속도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체중 </t>
    </r>
    <r>
      <rPr>
        <sz val="10"/>
        <rFont val="Malgun Gothic"/>
        <family val="0"/>
        <charset val="1"/>
      </rPr>
      <t xml:space="preserve">1 kg</t>
    </r>
    <r>
      <rPr>
        <sz val="10"/>
        <rFont val="Noto Sans CJK SC"/>
        <family val="2"/>
      </rPr>
      <t xml:space="preserve">당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</si>
  <si>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40.0 (IQR 21.0~45.0) | 5~95% 0.00~47.0</t>
    </r>
  </si>
  <si>
    <t xml:space="preserve">weight_daily_mean</t>
  </si>
  <si>
    <r>
      <rPr>
        <sz val="10"/>
        <rFont val="Noto Sans CJK SC"/>
        <family val="2"/>
      </rPr>
      <t xml:space="preserve">일일 체중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</si>
  <si>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76.8 (IQR 64.8~91.2) | 5~95% 50.1~118</t>
    </r>
  </si>
  <si>
    <t xml:space="preserve">weight_daily_min</t>
  </si>
  <si>
    <r>
      <rPr>
        <sz val="10"/>
        <rFont val="Noto Sans CJK SC"/>
        <family val="2"/>
      </rPr>
      <t xml:space="preserve">일일 체중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</si>
  <si>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76.4 (IQR 64.3~90.8) | 5~95% 49.8~118</t>
    </r>
  </si>
  <si>
    <t xml:space="preserve">weight_daily_max</t>
  </si>
  <si>
    <r>
      <rPr>
        <sz val="10"/>
        <rFont val="Noto Sans CJK SC"/>
        <family val="2"/>
      </rPr>
      <t xml:space="preserve">일일 체중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최댓값이다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</si>
  <si>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77.2 (IQR 65.1~91.9) | 5~95% 50.4~119</t>
    </r>
  </si>
  <si>
    <t xml:space="preserve">weight_daily_last</t>
  </si>
  <si>
    <r>
      <rPr>
        <sz val="10"/>
        <rFont val="Noto Sans CJK SC"/>
        <family val="2"/>
      </rPr>
      <t xml:space="preserve">일일 체중</t>
    </r>
    <r>
      <rPr>
        <sz val="10"/>
        <rFont val="Malgun Gothic"/>
        <family val="0"/>
        <charset val="1"/>
      </rPr>
      <t xml:space="preserve">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</si>
  <si>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76.9 (IQR 65.0~91.2) | 5~95% 50.2~118</t>
    </r>
  </si>
  <si>
    <t xml:space="preserve">weight_daily_n_hours_obs</t>
  </si>
  <si>
    <r>
      <rPr>
        <sz val="10"/>
        <rFont val="Noto Sans CJK SC"/>
        <family val="2"/>
      </rPr>
      <t xml:space="preserve">일일 체중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값이 있는 시간의 수이다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</si>
  <si>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0.00~1.00) | 5~95% 0.00~2.00</t>
    </r>
  </si>
  <si>
    <t xml:space="preserve">egfr_mdrd_min</t>
  </si>
  <si>
    <r>
      <rPr>
        <sz val="10"/>
        <rFont val="Malgun Gothic"/>
        <family val="0"/>
        <charset val="1"/>
      </rPr>
      <t xml:space="preserve">MDRD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시간별 크레아티닌 사용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인종 항 없음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</si>
  <si>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t xml:space="preserve">mL/min/1.73m²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</si>
  <si>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75.0 (IQR 52.3~99.3) | 5~95% 20.6~144</t>
    </r>
  </si>
  <si>
    <t xml:space="preserve">egfr_mdrd_last</t>
  </si>
  <si>
    <r>
      <rPr>
        <sz val="10"/>
        <rFont val="Malgun Gothic"/>
        <family val="0"/>
        <charset val="1"/>
      </rPr>
      <t xml:space="preserve">MDRD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시간별 크레아티닌 사용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인종 항 없음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</si>
  <si>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85.5 (IQR 60.4~116) | 5~95% 27.8~171</t>
    </r>
  </si>
  <si>
    <t xml:space="preserve">egfr_mdrd_mean</t>
  </si>
  <si>
    <r>
      <rPr>
        <sz val="10"/>
        <rFont val="Malgun Gothic"/>
        <family val="0"/>
        <charset val="1"/>
      </rPr>
      <t xml:space="preserve">MDRD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시간별 크레아티닌 사용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인종 항 없음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</si>
  <si>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84.2 (IQR 58.2~111) | 5~95% 24.9~163</t>
    </r>
  </si>
  <si>
    <t xml:space="preserve">egfr_cg_min</t>
  </si>
  <si>
    <r>
      <rPr>
        <sz val="10"/>
        <rFont val="Malgun Gothic"/>
        <family val="0"/>
        <charset val="1"/>
      </rPr>
      <t xml:space="preserve">Cockcroft-Gault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입실 시 체중 사용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</si>
  <si>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79.5 (IQR 51.3~114) | 5~95% 22.6~178</t>
    </r>
  </si>
  <si>
    <t xml:space="preserve">egfr_cg_last</t>
  </si>
  <si>
    <r>
      <rPr>
        <sz val="10"/>
        <rFont val="Malgun Gothic"/>
        <family val="0"/>
        <charset val="1"/>
      </rPr>
      <t xml:space="preserve">Cockcroft-Gault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입실 시 체중 사용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</si>
  <si>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90.9 (IQR 58.8~131) | 5~95% 28.0~207</t>
    </r>
  </si>
  <si>
    <t xml:space="preserve">egfr_cg_mean</t>
  </si>
  <si>
    <r>
      <rPr>
        <sz val="10"/>
        <rFont val="Malgun Gothic"/>
        <family val="0"/>
        <charset val="1"/>
      </rPr>
      <t xml:space="preserve">Cockcroft-Gault </t>
    </r>
    <r>
      <rPr>
        <sz val="10"/>
        <rFont val="Noto Sans CJK SC"/>
        <family val="2"/>
      </rPr>
      <t xml:space="preserve">식으로 구한 </t>
    </r>
    <r>
      <rPr>
        <sz val="10"/>
        <rFont val="Malgun Gothic"/>
        <family val="0"/>
        <charset val="1"/>
      </rPr>
      <t xml:space="preserve">eGFR(</t>
    </r>
    <r>
      <rPr>
        <sz val="10"/>
        <rFont val="Noto Sans CJK SC"/>
        <family val="2"/>
      </rPr>
      <t xml:space="preserve">입실 시 체중 사용</t>
    </r>
    <r>
      <rPr>
        <sz val="10"/>
        <rFont val="Malgun Gothic"/>
        <family val="0"/>
        <charset val="1"/>
      </rPr>
      <t xml:space="preserve">).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</si>
  <si>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87.7 (IQR 56.7~125) | 5~95% 26.0~194</t>
    </r>
  </si>
  <si>
    <t xml:space="preserve">egfr_ckdepi_min</t>
  </si>
  <si>
    <r>
      <rPr>
        <sz val="10"/>
        <rFont val="Malgun Gothic"/>
        <family val="0"/>
        <charset val="1"/>
      </rPr>
      <t xml:space="preserve">CKD-EPI 2021 </t>
    </r>
    <r>
      <rPr>
        <sz val="10"/>
        <rFont val="Noto Sans CJK SC"/>
        <family val="2"/>
      </rPr>
      <t xml:space="preserve">크레아티닌 식으로 구한 </t>
    </r>
    <r>
      <rPr>
        <sz val="10"/>
        <rFont val="Malgun Gothic"/>
        <family val="0"/>
        <charset val="1"/>
      </rPr>
      <t xml:space="preserve">eGFR. 0~47</t>
    </r>
    <r>
      <rPr>
        <sz val="10"/>
        <rFont val="Noto Sans CJK SC"/>
        <family val="2"/>
      </rPr>
      <t xml:space="preserve">시간 시간별 값의 최솟값이다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</si>
  <si>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83.8 (IQR 56.2~101) | 5~95% 21.6~122</t>
    </r>
  </si>
  <si>
    <t xml:space="preserve">egfr_ckdepi_last</t>
  </si>
  <si>
    <r>
      <rPr>
        <sz val="10"/>
        <rFont val="Malgun Gothic"/>
        <family val="0"/>
        <charset val="1"/>
      </rPr>
      <t xml:space="preserve">CKD-EPI 2021 </t>
    </r>
    <r>
      <rPr>
        <sz val="10"/>
        <rFont val="Noto Sans CJK SC"/>
        <family val="2"/>
      </rPr>
      <t xml:space="preserve">크레아티닌 식으로 구한 </t>
    </r>
    <r>
      <rPr>
        <sz val="10"/>
        <rFont val="Malgun Gothic"/>
        <family val="0"/>
        <charset val="1"/>
      </rPr>
      <t xml:space="preserve">eGFR. 0~47</t>
    </r>
    <r>
      <rPr>
        <sz val="10"/>
        <rFont val="Noto Sans CJK SC"/>
        <family val="2"/>
      </rPr>
      <t xml:space="preserve">시간 시간별 값의 마지막 값이다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</si>
  <si>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92.4 (IQR 66.1~106) | 5~95% 29.1~128</t>
    </r>
  </si>
  <si>
    <t xml:space="preserve">egfr_ckdepi_mean</t>
  </si>
  <si>
    <r>
      <rPr>
        <sz val="10"/>
        <rFont val="Malgun Gothic"/>
        <family val="0"/>
        <charset val="1"/>
      </rPr>
      <t xml:space="preserve">CKD-EPI 2021 </t>
    </r>
    <r>
      <rPr>
        <sz val="10"/>
        <rFont val="Noto Sans CJK SC"/>
        <family val="2"/>
      </rPr>
      <t xml:space="preserve">크레아티닌 식으로 구한 </t>
    </r>
    <r>
      <rPr>
        <sz val="10"/>
        <rFont val="Malgun Gothic"/>
        <family val="0"/>
        <charset val="1"/>
      </rPr>
      <t xml:space="preserve">eGFR. 0~47</t>
    </r>
    <r>
      <rPr>
        <sz val="10"/>
        <rFont val="Noto Sans CJK SC"/>
        <family val="2"/>
      </rPr>
      <t xml:space="preserve">시간 시간별 값의 평균이다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</si>
  <si>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89.7 (IQR 63.4~105) | 5~95% 26.2~125</t>
    </r>
  </si>
  <si>
    <t xml:space="preserve">tr_cr_n</t>
  </si>
  <si>
    <r>
      <rPr>
        <sz val="10"/>
        <rFont val="Noto Sans CJK SC"/>
        <family val="2"/>
      </rPr>
      <t xml:space="preserve">추세</t>
    </r>
    <r>
      <rPr>
        <sz val="10"/>
        <rFont val="Malgun Gothic"/>
        <family val="0"/>
        <charset val="1"/>
      </rPr>
      <t xml:space="preserve">(tr_)</t>
    </r>
  </si>
  <si>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시간 크레아티닌 측정 수</t>
    </r>
  </si>
  <si>
    <t xml:space="preserve">tr_cr_hsl</t>
  </si>
  <si>
    <t xml:space="preserve">마지막 크레아티닌 측정 후 경과 시간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</si>
  <si>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11.0 (IQR 6.00~16.0) | 5~95% 2.00~23.0</t>
    </r>
  </si>
  <si>
    <t xml:space="preserve">tr_cr_delta_24h</t>
  </si>
  <si>
    <r>
      <rPr>
        <sz val="10"/>
        <rFont val="Noto Sans CJK SC"/>
        <family val="2"/>
      </rPr>
      <t xml:space="preserve">크레아티닌 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변화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</si>
  <si>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-0.10~0.00) | 5~95% -0.40~0.10</t>
    </r>
  </si>
  <si>
    <t xml:space="preserve">tr_cr_rise_from_min</t>
  </si>
  <si>
    <r>
      <rPr>
        <sz val="10"/>
        <rFont val="Noto Sans CJK SC"/>
        <family val="2"/>
      </rPr>
      <t xml:space="preserve">크레아티닌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시간 최저 대비 상승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</si>
  <si>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0.00~0.10) | 5~95% 0.00~0.20</t>
    </r>
  </si>
  <si>
    <t xml:space="preserve">tr_cr_ratio_min</t>
  </si>
  <si>
    <r>
      <rPr>
        <sz val="10"/>
        <rFont val="Noto Sans CJK SC"/>
        <family val="2"/>
      </rPr>
      <t xml:space="preserve">크레아티닌 </t>
    </r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시간 최저 대비 비율</t>
    </r>
  </si>
  <si>
    <r>
      <rPr>
        <sz val="10"/>
        <rFont val="Noto Sans CJK SC"/>
        <family val="2"/>
      </rPr>
      <t xml:space="preserve">비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무차원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</si>
  <si>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1.00 (IQR 1.00~1.10) | 5~95% 1.00~1.25</t>
    </r>
  </si>
  <si>
    <t xml:space="preserve">tr_cr_rise_vs_ref</t>
  </si>
  <si>
    <r>
      <rPr>
        <sz val="10"/>
        <rFont val="Noto Sans CJK SC"/>
        <family val="2"/>
      </rPr>
      <t xml:space="preserve">크레아티닌 기준값</t>
    </r>
    <r>
      <rPr>
        <sz val="10"/>
        <rFont val="Malgun Gothic"/>
        <family val="0"/>
        <charset val="1"/>
      </rPr>
      <t xml:space="preserve">(48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입실 전 최저</t>
    </r>
    <r>
      <rPr>
        <sz val="10"/>
        <rFont val="Malgun Gothic"/>
        <family val="0"/>
        <charset val="1"/>
      </rPr>
      <t xml:space="preserve">) </t>
    </r>
    <r>
      <rPr>
        <sz val="10"/>
        <rFont val="Noto Sans CJK SC"/>
        <family val="2"/>
      </rPr>
      <t xml:space="preserve">대비 상승</t>
    </r>
  </si>
  <si>
    <t xml:space="preserve">tr_cr_ratio_baseline</t>
  </si>
  <si>
    <t xml:space="preserve">크레아티닌 기저치 대비 비율</t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</si>
  <si>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1.00 (IQR 1.00~1.12) | 5~95% 1.00~1.29</t>
    </r>
  </si>
  <si>
    <t xml:space="preserve">tr_cr_slope_day</t>
  </si>
  <si>
    <t xml:space="preserve">크레아티닌 하루 기울기</t>
  </si>
  <si>
    <r>
      <rPr>
        <sz val="10"/>
        <rFont val="Malgun Gothic"/>
        <family val="0"/>
        <charset val="1"/>
      </rPr>
      <t xml:space="preserve">mg/dL/</t>
    </r>
    <r>
      <rPr>
        <sz val="10"/>
        <rFont val="Noto Sans CJK SC"/>
        <family val="2"/>
      </rPr>
      <t xml:space="preserve">일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</si>
  <si>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-0.04 (IQR -0.12~0.01) | 5~95% -0.47~0.13</t>
    </r>
  </si>
  <si>
    <t xml:space="preserve">tr_cr_max_rise</t>
  </si>
  <si>
    <r>
      <rPr>
        <sz val="10"/>
        <rFont val="Malgun Gothic"/>
        <family val="0"/>
        <charset val="1"/>
      </rPr>
      <t xml:space="preserve">48</t>
    </r>
    <r>
      <rPr>
        <sz val="10"/>
        <rFont val="Noto Sans CJK SC"/>
        <family val="2"/>
      </rPr>
      <t xml:space="preserve">시간 안 크레아티닌 최대 상승폭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</si>
  <si>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0.00~0.10) | 5~95% -0.20~0.20</t>
    </r>
  </si>
  <si>
    <t xml:space="preserve">tr_bun_delta_24h</t>
  </si>
  <si>
    <r>
      <rPr>
        <sz val="10"/>
        <rFont val="Malgun Gothic"/>
        <family val="0"/>
        <charset val="1"/>
      </rPr>
      <t xml:space="preserve">BUN 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변화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</si>
  <si>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-1.00 (IQR -3.00~2.00) | 5~95% -12.0~6.00</t>
    </r>
  </si>
  <si>
    <t xml:space="preserve">tr_bun_cr_ratio</t>
  </si>
  <si>
    <r>
      <rPr>
        <sz val="10"/>
        <rFont val="Malgun Gothic"/>
        <family val="0"/>
        <charset val="1"/>
      </rPr>
      <t xml:space="preserve">BUN/</t>
    </r>
    <r>
      <rPr>
        <sz val="10"/>
        <rFont val="Noto Sans CJK SC"/>
        <family val="2"/>
      </rPr>
      <t xml:space="preserve">크레아티닌 비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</si>
  <si>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19.3 (IQR 14.2~26.7) | 5~95% 8.57~43.3</t>
    </r>
  </si>
  <si>
    <t xml:space="preserve">tr_k_delta_24h</t>
  </si>
  <si>
    <r>
      <rPr>
        <sz val="10"/>
        <rFont val="Noto Sans CJK SC"/>
        <family val="2"/>
      </rPr>
      <t xml:space="preserve">칼륨 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변화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</si>
  <si>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-0.10 (IQR -0.40~0.20) | 5~95% -0.90~0.70</t>
    </r>
  </si>
  <si>
    <t xml:space="preserve">tr_hco3_delta_24h</t>
  </si>
  <si>
    <r>
      <rPr>
        <sz val="10"/>
        <rFont val="Noto Sans CJK SC"/>
        <family val="2"/>
      </rPr>
      <t xml:space="preserve">중탄산 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변화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</si>
  <si>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1.00 (IQR -1.00~2.00) | 5~95% -4.00~5.00</t>
    </r>
  </si>
  <si>
    <t xml:space="preserve">tr_uo_rate_6h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</si>
  <si>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6</t>
    </r>
    <r>
      <rPr>
        <sz val="10"/>
        <rFont val="Noto Sans CJK SC"/>
        <family val="2"/>
      </rPr>
      <t xml:space="preserve">시간 소변량</t>
    </r>
    <r>
      <rPr>
        <sz val="10"/>
        <rFont val="Malgun Gothic"/>
        <family val="0"/>
        <charset val="1"/>
      </rPr>
      <t xml:space="preserve">(mL/kg/h)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</si>
  <si>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1.17 (IQR 0.75~1.91) | 5~95% 0.40~3.80</t>
    </r>
  </si>
  <si>
    <t xml:space="preserve">tr_uo_rate_12h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</si>
  <si>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 소변량</t>
    </r>
    <r>
      <rPr>
        <sz val="10"/>
        <rFont val="Malgun Gothic"/>
        <family val="0"/>
        <charset val="1"/>
      </rPr>
      <t xml:space="preserve">(mL/kg/h)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</si>
  <si>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1.21 (IQR 0.81~1.83) | 5~95% 0.46~3.28</t>
    </r>
  </si>
  <si>
    <t xml:space="preserve">tr_uo_rate_24h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</si>
  <si>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소변량</t>
    </r>
    <r>
      <rPr>
        <sz val="10"/>
        <rFont val="Malgun Gothic"/>
        <family val="0"/>
        <charset val="1"/>
      </rPr>
      <t xml:space="preserve">(mL/kg/h)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</si>
  <si>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1.22 (IQR 0.86~1.75) | 5~95% 0.50~2.98</t>
    </r>
  </si>
  <si>
    <t xml:space="preserve">tr_uo_trend_12h</t>
  </si>
  <si>
    <r>
      <rPr>
        <sz val="10"/>
        <rFont val="Noto Sans CJK SC"/>
        <family val="2"/>
      </rPr>
      <t xml:space="preserve">소변량 변화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그 전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</si>
  <si>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-0.35~0.43) | 5~95% -1.30~1.55</t>
    </r>
  </si>
  <si>
    <t xml:space="preserve">tr_uo_obs_12h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</si>
  <si>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 소변량 기록 시간 수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</si>
  <si>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9.00 (IQR 4.00~11.0) | 5~95% 0.00~12.0</t>
    </r>
  </si>
  <si>
    <t xml:space="preserve">tr_uo_low_h_12h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</si>
  <si>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 소변 저하</t>
    </r>
    <r>
      <rPr>
        <sz val="10"/>
        <rFont val="Malgun Gothic"/>
        <family val="0"/>
        <charset val="1"/>
      </rPr>
      <t xml:space="preserve">(&lt;0.5) </t>
    </r>
    <r>
      <rPr>
        <sz val="10"/>
        <rFont val="Noto Sans CJK SC"/>
        <family val="2"/>
      </rPr>
      <t xml:space="preserve">시간 수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</si>
  <si>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0.00~2.00) | 5~95% 0.00~6.00</t>
    </r>
  </si>
  <si>
    <t xml:space="preserve">tr_uo_low_run_end</t>
  </si>
  <si>
    <t xml:space="preserve">현재까지 연속 소변 저하 시간</t>
  </si>
  <si>
    <t xml:space="preserve">tr_mbp_min_12h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</si>
  <si>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 평균동맥압 최저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</si>
  <si>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69.0 (IQR 61.5~78.0) | 5~95% 52.0~93.0</t>
    </r>
  </si>
  <si>
    <t xml:space="preserve">tr_mbp_lt65_h_24h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</si>
  <si>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평균동맥압 </t>
    </r>
    <r>
      <rPr>
        <sz val="10"/>
        <rFont val="Malgun Gothic"/>
        <family val="0"/>
        <charset val="1"/>
      </rPr>
      <t xml:space="preserve">65 </t>
    </r>
    <r>
      <rPr>
        <sz val="10"/>
        <rFont val="Noto Sans CJK SC"/>
        <family val="2"/>
      </rPr>
      <t xml:space="preserve">미만 시간 수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</si>
  <si>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0.00~3.00) | 5~95% 0.00~11.0</t>
    </r>
  </si>
  <si>
    <t xml:space="preserve">tr_intake_24h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</si>
  <si>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수액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약물 섭취량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</si>
  <si>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2259 (IQR 1401~3367) | 5~95% 640~5750</t>
    </r>
  </si>
  <si>
    <t xml:space="preserve">tr_urine_ml_24h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</si>
  <si>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소변량</t>
    </r>
    <r>
      <rPr>
        <sz val="10"/>
        <rFont val="Malgun Gothic"/>
        <family val="0"/>
        <charset val="1"/>
      </rPr>
      <t xml:space="preserve">(mL)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</si>
  <si>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1855 (IQR 1195~2710) | 5~95% 500~4500</t>
    </r>
  </si>
  <si>
    <t xml:space="preserve">tr_fluid_bal_24h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</si>
  <si>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Noto Sans CJK SC"/>
        <family val="2"/>
      </rPr>
      <t xml:space="preserve">시간 수분 균형</t>
    </r>
    <r>
      <rPr>
        <sz val="10"/>
        <rFont val="Malgun Gothic"/>
        <family val="0"/>
        <charset val="1"/>
      </rPr>
      <t xml:space="preserve">(mL)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</si>
  <si>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369 (IQR -584~1366) | 5~95% -2080~3331</t>
    </r>
  </si>
  <si>
    <t xml:space="preserve">tr_vaso_h_12h</t>
  </si>
  <si>
    <r>
      <rPr>
        <sz val="10"/>
        <rFont val="Noto Sans CJK SC"/>
        <family val="2"/>
      </rPr>
      <t xml:space="preserve">최근 </t>
    </r>
    <r>
      <rPr>
        <sz val="10"/>
        <rFont val="Malgun Gothic"/>
        <family val="0"/>
        <charset val="1"/>
      </rPr>
      <t xml:space="preserve">12</t>
    </r>
    <r>
      <rPr>
        <sz val="10"/>
        <rFont val="Noto Sans CJK SC"/>
        <family val="2"/>
      </rPr>
      <t xml:space="preserve">시간 승압제 시간</t>
    </r>
  </si>
  <si>
    <r>
      <rPr>
        <sz val="10"/>
        <rFont val="Noto Sans CJK SC"/>
        <family val="2"/>
      </rPr>
      <t xml:space="preserve">중앙값 </t>
    </r>
    <r>
      <rPr>
        <sz val="10"/>
        <rFont val="Malgun Gothic"/>
        <family val="0"/>
        <charset val="1"/>
      </rPr>
      <t xml:space="preserve">0.00 (IQR 0.00~0.00) | 5~95% 0.00~12.0</t>
    </r>
  </si>
  <si>
    <t xml:space="preserve">변수 수</t>
  </si>
  <si>
    <t xml:space="preserve">모델이 사용한 변수 수</t>
  </si>
  <si>
    <r>
      <rPr>
        <b val="true"/>
        <sz val="10"/>
        <color rgb="FFFFFFFF"/>
        <rFont val="Malgun Gothic"/>
        <family val="0"/>
        <charset val="1"/>
      </rPr>
      <t xml:space="preserve">SHAP </t>
    </r>
    <r>
      <rPr>
        <b val="true"/>
        <sz val="10"/>
        <color rgb="FFFFFFFF"/>
        <rFont val="Noto Sans CJK SC"/>
        <family val="2"/>
      </rPr>
      <t xml:space="preserve">비중 합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</si>
  <si>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평균 결측</t>
    </r>
    <r>
      <rPr>
        <b val="true"/>
        <sz val="10"/>
        <color rgb="FFFFFFFF"/>
        <rFont val="Malgun Gothic"/>
        <family val="0"/>
        <charset val="1"/>
      </rPr>
      <t xml:space="preserve">(%)</t>
    </r>
  </si>
  <si>
    <t xml:space="preserve">합계</t>
  </si>
  <si>
    <r>
      <rPr>
        <i val="true"/>
        <sz val="9"/>
        <rFont val="Malgun Gothic"/>
        <family val="0"/>
        <charset val="1"/>
      </rPr>
      <t xml:space="preserve">SHAP </t>
    </r>
    <r>
      <rPr>
        <i val="true"/>
        <sz val="9"/>
        <rFont val="Noto Sans CJK SC"/>
        <family val="2"/>
      </rPr>
      <t xml:space="preserve">비중은 테스트 </t>
    </r>
    <r>
      <rPr>
        <i val="true"/>
        <sz val="9"/>
        <rFont val="Malgun Gothic"/>
        <family val="0"/>
        <charset val="1"/>
      </rPr>
      <t xml:space="preserve">1,658</t>
    </r>
    <r>
      <rPr>
        <i val="true"/>
        <sz val="9"/>
        <rFont val="Noto Sans CJK SC"/>
        <family val="2"/>
      </rPr>
      <t xml:space="preserve">건의 평균 </t>
    </r>
    <r>
      <rPr>
        <i val="true"/>
        <sz val="9"/>
        <rFont val="Malgun Gothic"/>
        <family val="0"/>
        <charset val="1"/>
      </rPr>
      <t xml:space="preserve">|SHAP|</t>
    </r>
    <r>
      <rPr>
        <i val="true"/>
        <sz val="9"/>
        <rFont val="Noto Sans CJK SC"/>
        <family val="2"/>
      </rPr>
      <t xml:space="preserve">을 전체 변수 합으로 나눈 값입니다</t>
    </r>
    <r>
      <rPr>
        <i val="true"/>
        <sz val="9"/>
        <rFont val="Malgun Gothic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계열은 변수 이름 규칙으로 나눈 분류입니다</t>
    </r>
    <r>
      <rPr>
        <i val="true"/>
        <sz val="9"/>
        <rFont val="Malgun Gothic"/>
        <family val="0"/>
        <charset val="1"/>
      </rPr>
      <t xml:space="preserve">.</t>
    </r>
  </si>
  <si>
    <t xml:space="preserve">범주 값</t>
  </si>
  <si>
    <r>
      <rPr>
        <b val="true"/>
        <sz val="10"/>
        <color rgb="FFFFFFFF"/>
        <rFont val="Noto Sans CJK SC"/>
        <family val="2"/>
      </rPr>
      <t xml:space="preserve">비율</t>
    </r>
    <r>
      <rPr>
        <b val="true"/>
        <sz val="10"/>
        <color rgb="FFFFFFFF"/>
        <rFont val="Malgun Gothic"/>
        <family val="0"/>
        <charset val="1"/>
      </rPr>
      <t xml:space="preserve">(%) </t>
    </r>
    <r>
      <rPr>
        <b val="true"/>
        <sz val="10"/>
        <color rgb="FFFFFFFF"/>
        <rFont val="Noto Sans CJK SC"/>
        <family val="2"/>
      </rPr>
      <t xml:space="preserve">또는 표기</t>
    </r>
  </si>
  <si>
    <t xml:space="preserve">M</t>
  </si>
  <si>
    <t xml:space="preserve">56.2%</t>
  </si>
  <si>
    <t xml:space="preserve">F</t>
  </si>
  <si>
    <t xml:space="preserve">43.8%</t>
  </si>
  <si>
    <t xml:space="preserve">Medical Intensive Care Unit (MICU)</t>
  </si>
  <si>
    <t xml:space="preserve">18.5%</t>
  </si>
  <si>
    <t xml:space="preserve">Neuro Intermediate</t>
  </si>
  <si>
    <t xml:space="preserve">17.2%</t>
  </si>
  <si>
    <t xml:space="preserve">Medical/Surgical Intensive Care Unit (MICU/SICU)</t>
  </si>
  <si>
    <t xml:space="preserve">14.5%</t>
  </si>
  <si>
    <t xml:space="preserve">Surgical Intensive Care Unit (SICU)</t>
  </si>
  <si>
    <t xml:space="preserve">13.5%</t>
  </si>
  <si>
    <t xml:space="preserve">Coronary Care Unit (CCU)</t>
  </si>
  <si>
    <t xml:space="preserve">10.9%</t>
  </si>
  <si>
    <t xml:space="preserve">Trauma SICU (TSICU)</t>
  </si>
  <si>
    <t xml:space="preserve">9.4%</t>
  </si>
  <si>
    <t xml:space="preserve">Cardiac Vascular Intensive Care Unit (CVICU)</t>
  </si>
  <si>
    <t xml:space="preserve">8.8%</t>
  </si>
  <si>
    <t xml:space="preserve">Neuro Stepdown</t>
  </si>
  <si>
    <t xml:space="preserve">3.3%</t>
  </si>
  <si>
    <t xml:space="preserve">Neuro Surgical Intensive Care Unit (Neuro SICU)</t>
  </si>
  <si>
    <t xml:space="preserve">3.2%</t>
  </si>
  <si>
    <t xml:space="preserve">Surgery/Vascular/Intermediate</t>
  </si>
  <si>
    <t xml:space="preserve">0.5%</t>
  </si>
  <si>
    <t xml:space="preserve">PACU</t>
  </si>
  <si>
    <r>
      <rPr>
        <sz val="10"/>
        <rFont val="Malgun Gothic"/>
        <family val="0"/>
        <charset val="1"/>
      </rPr>
      <t xml:space="preserve">&lt;10</t>
    </r>
    <r>
      <rPr>
        <sz val="10"/>
        <rFont val="Noto Sans CJK SC"/>
        <family val="2"/>
      </rPr>
      <t xml:space="preserve">건</t>
    </r>
  </si>
  <si>
    <t xml:space="preserve">Intensive Care Unit (ICU)</t>
  </si>
  <si>
    <t xml:space="preserve">Surgery/Trauma</t>
  </si>
  <si>
    <t xml:space="preserve">Medicine</t>
  </si>
  <si>
    <t xml:space="preserve">EW EMER.</t>
  </si>
  <si>
    <t xml:space="preserve">50.9%</t>
  </si>
  <si>
    <t xml:space="preserve">OBSERVATION ADMIT</t>
  </si>
  <si>
    <t xml:space="preserve">18.6%</t>
  </si>
  <si>
    <t xml:space="preserve">URGENT</t>
  </si>
  <si>
    <t xml:space="preserve">18.2%</t>
  </si>
  <si>
    <t xml:space="preserve">SURGICAL SAME DAY ADMISSION</t>
  </si>
  <si>
    <t xml:space="preserve">7.0%</t>
  </si>
  <si>
    <t xml:space="preserve">DIRECT EMER.</t>
  </si>
  <si>
    <t xml:space="preserve">ELECTIVE</t>
  </si>
  <si>
    <t xml:space="preserve">2.0%</t>
  </si>
  <si>
    <t xml:space="preserve">DIRECT OBSERVATION</t>
  </si>
  <si>
    <t xml:space="preserve">EU OBSERVATION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</si>
</sst>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.00"/>
    <numFmt numFmtId="167" formatCode="0.0000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Malgun Gothic"/>
      <family val="0"/>
      <charset val="1"/>
    </font>
    <font>
      <b val="true"/>
      <sz val="12"/>
      <name val="Noto Sans CJK SC"/>
      <family val="2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i val="true"/>
      <sz val="9"/>
      <name val="Malgun Gothic"/>
      <family val="0"/>
      <charset val="1"/>
    </font>
    <font>
      <i val="true"/>
      <sz val="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F2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2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2EE"/>
      <rgbColor rgb="FFCCFFFF"/>
      <rgbColor rgb="FF660066"/>
      <rgbColor rgb="FFFF8080"/>
      <rgbColor rgb="FF0066CC"/>
      <rgbColor rgb="FFD9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52"/>
    <col collapsed="false" customWidth="true" hidden="false" outlineLevel="0" max="18" min="9" style="0" width="9"/>
    <col collapsed="false" customWidth="true" hidden="false" outlineLevel="0" max="20" min="19" style="0" width="11"/>
    <col collapsed="false" customWidth="true" hidden="false" outlineLevel="0" max="22" min="21" style="0" width="9"/>
  </cols>
  <sheetData>
    <row r="1" customFormat="false" ht="30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5" t="s">
        <v>19</v>
      </c>
      <c r="J1" s="5" t="s">
        <v>20</v>
      </c>
      <c r="K1" s="5" t="s">
        <v>21</v>
      </c>
      <c r="L1" s="4" t="s">
        <v>22</v>
      </c>
      <c r="M1" s="5" t="s">
        <v>23</v>
      </c>
      <c r="N1" s="5" t="s">
        <v>24</v>
      </c>
      <c r="O1" s="5" t="s">
        <v>25</v>
      </c>
      <c r="P1" s="4" t="s">
        <v>26</v>
      </c>
      <c r="Q1" s="4" t="s">
        <v>27</v>
      </c>
      <c r="R1" s="5" t="s">
        <v>28</v>
      </c>
      <c r="S1" s="4" t="s">
        <v>29</v>
      </c>
      <c r="T1" s="5" t="s">
        <v>30</v>
      </c>
      <c r="U1" s="4" t="s">
        <v>31</v>
      </c>
      <c r="V1" s="4" t="s">
        <v>32</v>
      </c>
    </row>
    <row r="2" customFormat="false" ht="29.85" hidden="false" customHeight="false" outlineLevel="0" collapsed="false">
      <c r="A2" s="6" t="n">
        <v>1</v>
      </c>
      <c r="B2" s="6" t="s">
        <v>33</v>
      </c>
      <c r="C2" s="7" t="s">
        <v>34</v>
      </c>
      <c r="D2" s="8" t="s">
        <v>35</v>
      </c>
      <c r="E2" s="7" t="s">
        <v>36</v>
      </c>
      <c r="F2" s="7" t="s">
        <v>37</v>
      </c>
      <c r="G2" s="9" t="n">
        <v>0</v>
      </c>
      <c r="H2" s="10" t="s">
        <v>38</v>
      </c>
      <c r="I2" s="11" t="n">
        <v>22</v>
      </c>
      <c r="J2" s="11" t="n">
        <v>30</v>
      </c>
      <c r="K2" s="11" t="n">
        <v>54</v>
      </c>
      <c r="L2" s="11" t="n">
        <v>66</v>
      </c>
      <c r="M2" s="11" t="n">
        <v>76</v>
      </c>
      <c r="N2" s="11" t="n">
        <v>88</v>
      </c>
      <c r="O2" s="11" t="n">
        <v>92</v>
      </c>
      <c r="P2" s="11" t="n">
        <v>63.73164</v>
      </c>
      <c r="Q2" s="6" t="n">
        <v>82</v>
      </c>
      <c r="R2" s="6" t="n">
        <v>15</v>
      </c>
      <c r="S2" s="12" t="n">
        <v>0.04336</v>
      </c>
      <c r="T2" s="13" t="n">
        <v>1.41332</v>
      </c>
      <c r="U2" s="6" t="n">
        <v>40</v>
      </c>
      <c r="V2" s="7" t="s">
        <v>39</v>
      </c>
    </row>
    <row r="3" customFormat="false" ht="15" hidden="false" customHeight="false" outlineLevel="0" collapsed="false">
      <c r="A3" s="14" t="n">
        <v>2</v>
      </c>
      <c r="B3" s="14" t="s">
        <v>40</v>
      </c>
      <c r="C3" s="15" t="s">
        <v>34</v>
      </c>
      <c r="D3" s="16" t="s">
        <v>41</v>
      </c>
      <c r="E3" s="15" t="s">
        <v>42</v>
      </c>
      <c r="F3" s="15" t="s">
        <v>42</v>
      </c>
      <c r="G3" s="17" t="n">
        <v>0</v>
      </c>
      <c r="H3" s="18" t="s">
        <v>43</v>
      </c>
      <c r="I3" s="19"/>
      <c r="J3" s="19"/>
      <c r="K3" s="19"/>
      <c r="L3" s="19"/>
      <c r="M3" s="19"/>
      <c r="N3" s="19"/>
      <c r="O3" s="19"/>
      <c r="P3" s="19"/>
      <c r="Q3" s="14" t="n">
        <v>2</v>
      </c>
      <c r="R3" s="14" t="n">
        <v>151</v>
      </c>
      <c r="S3" s="20" t="n">
        <v>0.00186</v>
      </c>
      <c r="T3" s="21" t="n">
        <v>0.06066</v>
      </c>
      <c r="U3" s="14" t="n">
        <v>2</v>
      </c>
      <c r="V3" s="15" t="s">
        <v>39</v>
      </c>
    </row>
    <row r="4" customFormat="false" ht="39.55" hidden="false" customHeight="false" outlineLevel="0" collapsed="false">
      <c r="A4" s="6" t="n">
        <v>3</v>
      </c>
      <c r="B4" s="6" t="s">
        <v>44</v>
      </c>
      <c r="C4" s="7" t="s">
        <v>34</v>
      </c>
      <c r="D4" s="10" t="s">
        <v>45</v>
      </c>
      <c r="E4" s="7" t="s">
        <v>42</v>
      </c>
      <c r="F4" s="7" t="s">
        <v>42</v>
      </c>
      <c r="G4" s="9" t="n">
        <v>0</v>
      </c>
      <c r="H4" s="8" t="s">
        <v>46</v>
      </c>
      <c r="I4" s="11"/>
      <c r="J4" s="11"/>
      <c r="K4" s="11"/>
      <c r="L4" s="11"/>
      <c r="M4" s="11"/>
      <c r="N4" s="11"/>
      <c r="O4" s="11"/>
      <c r="P4" s="11"/>
      <c r="Q4" s="6" t="n">
        <v>14</v>
      </c>
      <c r="R4" s="6" t="n">
        <v>1</v>
      </c>
      <c r="S4" s="12" t="n">
        <v>0.217</v>
      </c>
      <c r="T4" s="13" t="n">
        <v>7.07334</v>
      </c>
      <c r="U4" s="6" t="n">
        <v>71</v>
      </c>
      <c r="V4" s="7" t="s">
        <v>39</v>
      </c>
    </row>
    <row r="5" customFormat="false" ht="27.6" hidden="false" customHeight="false" outlineLevel="0" collapsed="false">
      <c r="A5" s="14" t="n">
        <v>4</v>
      </c>
      <c r="B5" s="14" t="s">
        <v>47</v>
      </c>
      <c r="C5" s="15" t="s">
        <v>34</v>
      </c>
      <c r="D5" s="16" t="s">
        <v>48</v>
      </c>
      <c r="E5" s="15" t="s">
        <v>42</v>
      </c>
      <c r="F5" s="15" t="s">
        <v>42</v>
      </c>
      <c r="G5" s="17" t="n">
        <v>0</v>
      </c>
      <c r="H5" s="18" t="s">
        <v>49</v>
      </c>
      <c r="I5" s="19"/>
      <c r="J5" s="19"/>
      <c r="K5" s="19"/>
      <c r="L5" s="19"/>
      <c r="M5" s="19"/>
      <c r="N5" s="19"/>
      <c r="O5" s="19"/>
      <c r="P5" s="19"/>
      <c r="Q5" s="14" t="n">
        <v>8</v>
      </c>
      <c r="R5" s="14" t="n">
        <v>280</v>
      </c>
      <c r="S5" s="20" t="n">
        <v>0</v>
      </c>
      <c r="T5" s="21" t="n">
        <v>0</v>
      </c>
      <c r="U5" s="14" t="n">
        <v>0</v>
      </c>
      <c r="V5" s="15" t="s">
        <v>50</v>
      </c>
    </row>
    <row r="6" customFormat="false" ht="29.85" hidden="false" customHeight="false" outlineLevel="0" collapsed="false">
      <c r="A6" s="6" t="n">
        <v>5</v>
      </c>
      <c r="B6" s="6" t="s">
        <v>51</v>
      </c>
      <c r="C6" s="7" t="s">
        <v>34</v>
      </c>
      <c r="D6" s="8" t="s">
        <v>52</v>
      </c>
      <c r="E6" s="7" t="s">
        <v>36</v>
      </c>
      <c r="F6" s="6" t="s">
        <v>53</v>
      </c>
      <c r="G6" s="9" t="n">
        <v>0</v>
      </c>
      <c r="H6" s="10" t="s">
        <v>54</v>
      </c>
      <c r="I6" s="11" t="n">
        <v>40.5</v>
      </c>
      <c r="J6" s="11" t="n">
        <v>49</v>
      </c>
      <c r="K6" s="11" t="n">
        <v>63.1</v>
      </c>
      <c r="L6" s="11" t="n">
        <v>75</v>
      </c>
      <c r="M6" s="11" t="n">
        <v>89</v>
      </c>
      <c r="N6" s="11" t="n">
        <v>117.4</v>
      </c>
      <c r="O6" s="11" t="n">
        <v>147.307</v>
      </c>
      <c r="P6" s="11" t="n">
        <v>77.94538</v>
      </c>
      <c r="Q6" s="6" t="n">
        <v>1211</v>
      </c>
      <c r="R6" s="6" t="n">
        <v>8</v>
      </c>
      <c r="S6" s="12" t="n">
        <v>0.06026</v>
      </c>
      <c r="T6" s="13" t="n">
        <v>1.96415</v>
      </c>
      <c r="U6" s="6" t="n">
        <v>60</v>
      </c>
      <c r="V6" s="7" t="s">
        <v>39</v>
      </c>
    </row>
    <row r="7" customFormat="false" ht="15" hidden="false" customHeight="false" outlineLevel="0" collapsed="false">
      <c r="A7" s="14" t="n">
        <v>6</v>
      </c>
      <c r="B7" s="14" t="s">
        <v>55</v>
      </c>
      <c r="C7" s="15" t="s">
        <v>34</v>
      </c>
      <c r="D7" s="16" t="s">
        <v>56</v>
      </c>
      <c r="E7" s="14" t="s">
        <v>57</v>
      </c>
      <c r="F7" s="14" t="s">
        <v>57</v>
      </c>
      <c r="G7" s="17" t="n">
        <v>0</v>
      </c>
      <c r="H7" s="18" t="s">
        <v>58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1</v>
      </c>
      <c r="P7" s="19" t="n">
        <v>0.01945</v>
      </c>
      <c r="Q7" s="14" t="n">
        <v>2</v>
      </c>
      <c r="R7" s="14" t="n">
        <v>126</v>
      </c>
      <c r="S7" s="20" t="n">
        <v>0.00379</v>
      </c>
      <c r="T7" s="21" t="n">
        <v>0.12367</v>
      </c>
      <c r="U7" s="14" t="n">
        <v>7</v>
      </c>
      <c r="V7" s="15" t="s">
        <v>39</v>
      </c>
    </row>
    <row r="8" customFormat="false" ht="15" hidden="false" customHeight="false" outlineLevel="0" collapsed="false">
      <c r="A8" s="6" t="n">
        <v>7</v>
      </c>
      <c r="B8" s="6" t="s">
        <v>59</v>
      </c>
      <c r="C8" s="7" t="s">
        <v>34</v>
      </c>
      <c r="D8" s="10" t="s">
        <v>60</v>
      </c>
      <c r="E8" s="6" t="s">
        <v>57</v>
      </c>
      <c r="F8" s="6" t="s">
        <v>57</v>
      </c>
      <c r="G8" s="9" t="n">
        <v>0</v>
      </c>
      <c r="H8" s="8" t="s">
        <v>61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1</v>
      </c>
      <c r="O8" s="11" t="n">
        <v>1</v>
      </c>
      <c r="P8" s="11" t="n">
        <v>0.098</v>
      </c>
      <c r="Q8" s="6" t="n">
        <v>2</v>
      </c>
      <c r="R8" s="6" t="n">
        <v>146</v>
      </c>
      <c r="S8" s="12" t="n">
        <v>0.00215</v>
      </c>
      <c r="T8" s="13" t="n">
        <v>0.07003</v>
      </c>
      <c r="U8" s="6" t="n">
        <v>3</v>
      </c>
      <c r="V8" s="7" t="s">
        <v>39</v>
      </c>
    </row>
    <row r="9" customFormat="false" ht="15" hidden="false" customHeight="false" outlineLevel="0" collapsed="false">
      <c r="A9" s="14" t="n">
        <v>8</v>
      </c>
      <c r="B9" s="14" t="s">
        <v>62</v>
      </c>
      <c r="C9" s="15" t="s">
        <v>63</v>
      </c>
      <c r="D9" s="18" t="s">
        <v>64</v>
      </c>
      <c r="E9" s="15" t="s">
        <v>36</v>
      </c>
      <c r="F9" s="14" t="s">
        <v>65</v>
      </c>
      <c r="G9" s="17" t="n">
        <v>0</v>
      </c>
      <c r="H9" s="16" t="s">
        <v>66</v>
      </c>
      <c r="I9" s="19" t="n">
        <v>0.3</v>
      </c>
      <c r="J9" s="19" t="n">
        <v>0.4</v>
      </c>
      <c r="K9" s="19" t="n">
        <v>0.6</v>
      </c>
      <c r="L9" s="19" t="n">
        <v>0.8</v>
      </c>
      <c r="M9" s="19" t="n">
        <v>1</v>
      </c>
      <c r="N9" s="19" t="n">
        <v>2</v>
      </c>
      <c r="O9" s="19" t="n">
        <v>3.901</v>
      </c>
      <c r="P9" s="19" t="n">
        <v>0.93888</v>
      </c>
      <c r="Q9" s="14" t="n">
        <v>88</v>
      </c>
      <c r="R9" s="14" t="n">
        <v>54</v>
      </c>
      <c r="S9" s="20" t="n">
        <v>0.01656</v>
      </c>
      <c r="T9" s="21" t="n">
        <v>0.53977</v>
      </c>
      <c r="U9" s="14" t="n">
        <v>19</v>
      </c>
      <c r="V9" s="15" t="s">
        <v>39</v>
      </c>
    </row>
    <row r="10" customFormat="false" ht="15" hidden="false" customHeight="false" outlineLevel="0" collapsed="false">
      <c r="A10" s="6" t="n">
        <v>9</v>
      </c>
      <c r="B10" s="6" t="s">
        <v>67</v>
      </c>
      <c r="C10" s="7" t="s">
        <v>63</v>
      </c>
      <c r="D10" s="8" t="s">
        <v>68</v>
      </c>
      <c r="E10" s="7" t="s">
        <v>36</v>
      </c>
      <c r="F10" s="6" t="s">
        <v>65</v>
      </c>
      <c r="G10" s="9" t="n">
        <v>19.8</v>
      </c>
      <c r="H10" s="10" t="s">
        <v>69</v>
      </c>
      <c r="I10" s="11" t="n">
        <v>0.4</v>
      </c>
      <c r="J10" s="11" t="n">
        <v>0.5</v>
      </c>
      <c r="K10" s="11" t="n">
        <v>0.7</v>
      </c>
      <c r="L10" s="11" t="n">
        <v>0.9</v>
      </c>
      <c r="M10" s="11" t="n">
        <v>1.3</v>
      </c>
      <c r="N10" s="11" t="n">
        <v>2.9</v>
      </c>
      <c r="O10" s="11" t="n">
        <v>6.181</v>
      </c>
      <c r="P10" s="11" t="n">
        <v>1.23559</v>
      </c>
      <c r="Q10" s="6" t="n">
        <v>114</v>
      </c>
      <c r="R10" s="6" t="n">
        <v>83</v>
      </c>
      <c r="S10" s="12" t="n">
        <v>0.01015</v>
      </c>
      <c r="T10" s="13" t="n">
        <v>0.3307</v>
      </c>
      <c r="U10" s="6" t="n">
        <v>27</v>
      </c>
      <c r="V10" s="7" t="s">
        <v>39</v>
      </c>
    </row>
    <row r="11" customFormat="false" ht="15" hidden="false" customHeight="false" outlineLevel="0" collapsed="false">
      <c r="A11" s="14" t="n">
        <v>10</v>
      </c>
      <c r="B11" s="14" t="s">
        <v>70</v>
      </c>
      <c r="C11" s="15" t="s">
        <v>34</v>
      </c>
      <c r="D11" s="18" t="s">
        <v>71</v>
      </c>
      <c r="E11" s="15" t="s">
        <v>72</v>
      </c>
      <c r="F11" s="15" t="s">
        <v>73</v>
      </c>
      <c r="G11" s="17" t="n">
        <v>0</v>
      </c>
      <c r="H11" s="16" t="s">
        <v>74</v>
      </c>
      <c r="I11" s="19" t="n">
        <v>0</v>
      </c>
      <c r="J11" s="19" t="n">
        <v>0</v>
      </c>
      <c r="K11" s="19" t="n">
        <v>0</v>
      </c>
      <c r="L11" s="19" t="n">
        <v>0</v>
      </c>
      <c r="M11" s="19" t="n">
        <v>0</v>
      </c>
      <c r="N11" s="19" t="n">
        <v>0</v>
      </c>
      <c r="O11" s="19" t="n">
        <v>0</v>
      </c>
      <c r="P11" s="19" t="n">
        <v>0.01082</v>
      </c>
      <c r="Q11" s="14" t="n">
        <v>7</v>
      </c>
      <c r="R11" s="14" t="n">
        <v>279</v>
      </c>
      <c r="S11" s="20" t="n">
        <v>0</v>
      </c>
      <c r="T11" s="21" t="n">
        <v>0</v>
      </c>
      <c r="U11" s="14" t="n">
        <v>0</v>
      </c>
      <c r="V11" s="15" t="s">
        <v>50</v>
      </c>
    </row>
    <row r="12" customFormat="false" ht="15" hidden="false" customHeight="false" outlineLevel="0" collapsed="false">
      <c r="A12" s="6" t="n">
        <v>11</v>
      </c>
      <c r="B12" s="6" t="s">
        <v>75</v>
      </c>
      <c r="C12" s="7" t="s">
        <v>34</v>
      </c>
      <c r="D12" s="10" t="s">
        <v>76</v>
      </c>
      <c r="E12" s="7" t="s">
        <v>36</v>
      </c>
      <c r="F12" s="7" t="s">
        <v>77</v>
      </c>
      <c r="G12" s="9" t="n">
        <v>99.3</v>
      </c>
      <c r="H12" s="10" t="s">
        <v>78</v>
      </c>
      <c r="I12" s="11" t="n">
        <v>0.63083</v>
      </c>
      <c r="J12" s="11" t="n">
        <v>1.45889</v>
      </c>
      <c r="K12" s="11" t="n">
        <v>4.26667</v>
      </c>
      <c r="L12" s="11" t="n">
        <v>10.1</v>
      </c>
      <c r="M12" s="11" t="n">
        <v>18.26667</v>
      </c>
      <c r="N12" s="11" t="n">
        <v>39.43917</v>
      </c>
      <c r="O12" s="11" t="n">
        <v>43.60333</v>
      </c>
      <c r="P12" s="11" t="n">
        <v>13.22491</v>
      </c>
      <c r="Q12" s="6" t="n">
        <v>80</v>
      </c>
      <c r="R12" s="6" t="n">
        <v>277</v>
      </c>
      <c r="S12" s="12" t="n">
        <v>0</v>
      </c>
      <c r="T12" s="13" t="n">
        <v>0</v>
      </c>
      <c r="U12" s="6" t="n">
        <v>0</v>
      </c>
      <c r="V12" s="7" t="s">
        <v>50</v>
      </c>
    </row>
    <row r="13" customFormat="false" ht="15" hidden="false" customHeight="false" outlineLevel="0" collapsed="false">
      <c r="A13" s="14" t="n">
        <v>12</v>
      </c>
      <c r="B13" s="14" t="s">
        <v>79</v>
      </c>
      <c r="C13" s="15" t="s">
        <v>34</v>
      </c>
      <c r="D13" s="16" t="s">
        <v>80</v>
      </c>
      <c r="E13" s="15" t="s">
        <v>72</v>
      </c>
      <c r="F13" s="15" t="s">
        <v>77</v>
      </c>
      <c r="G13" s="17" t="n">
        <v>0</v>
      </c>
      <c r="H13" s="16" t="s">
        <v>81</v>
      </c>
      <c r="I13" s="19" t="n">
        <v>0</v>
      </c>
      <c r="J13" s="19" t="n">
        <v>0</v>
      </c>
      <c r="K13" s="19" t="n">
        <v>0</v>
      </c>
      <c r="L13" s="19" t="n">
        <v>0</v>
      </c>
      <c r="M13" s="19" t="n">
        <v>2</v>
      </c>
      <c r="N13" s="19" t="n">
        <v>45</v>
      </c>
      <c r="O13" s="19" t="n">
        <v>48</v>
      </c>
      <c r="P13" s="19" t="n">
        <v>7.00091</v>
      </c>
      <c r="Q13" s="14" t="n">
        <v>49</v>
      </c>
      <c r="R13" s="14" t="n">
        <v>141</v>
      </c>
      <c r="S13" s="20" t="n">
        <v>0.00232</v>
      </c>
      <c r="T13" s="21" t="n">
        <v>0.07549</v>
      </c>
      <c r="U13" s="14" t="n">
        <v>4</v>
      </c>
      <c r="V13" s="15" t="s">
        <v>39</v>
      </c>
    </row>
    <row r="14" customFormat="false" ht="15" hidden="false" customHeight="false" outlineLevel="0" collapsed="false">
      <c r="A14" s="6" t="n">
        <v>13</v>
      </c>
      <c r="B14" s="6" t="s">
        <v>82</v>
      </c>
      <c r="C14" s="7" t="s">
        <v>34</v>
      </c>
      <c r="D14" s="10" t="s">
        <v>83</v>
      </c>
      <c r="E14" s="7" t="s">
        <v>72</v>
      </c>
      <c r="F14" s="7" t="s">
        <v>77</v>
      </c>
      <c r="G14" s="9" t="n">
        <v>0</v>
      </c>
      <c r="H14" s="10" t="s">
        <v>74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0.19564</v>
      </c>
      <c r="Q14" s="6" t="n">
        <v>34</v>
      </c>
      <c r="R14" s="6" t="n">
        <v>278</v>
      </c>
      <c r="S14" s="12" t="n">
        <v>0</v>
      </c>
      <c r="T14" s="13" t="n">
        <v>0</v>
      </c>
      <c r="U14" s="6" t="n">
        <v>0</v>
      </c>
      <c r="V14" s="7" t="s">
        <v>50</v>
      </c>
    </row>
    <row r="15" customFormat="false" ht="15" hidden="false" customHeight="false" outlineLevel="0" collapsed="false">
      <c r="A15" s="14" t="n">
        <v>14</v>
      </c>
      <c r="B15" s="14" t="s">
        <v>84</v>
      </c>
      <c r="C15" s="15" t="s">
        <v>34</v>
      </c>
      <c r="D15" s="18" t="s">
        <v>85</v>
      </c>
      <c r="E15" s="15" t="s">
        <v>72</v>
      </c>
      <c r="F15" s="15" t="s">
        <v>77</v>
      </c>
      <c r="G15" s="17" t="n">
        <v>0</v>
      </c>
      <c r="H15" s="16" t="s">
        <v>74</v>
      </c>
      <c r="I15" s="19" t="n">
        <v>0</v>
      </c>
      <c r="J15" s="19" t="n">
        <v>0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0.11282</v>
      </c>
      <c r="Q15" s="14" t="n">
        <v>20</v>
      </c>
      <c r="R15" s="14" t="n">
        <v>191</v>
      </c>
      <c r="S15" s="20" t="n">
        <v>0</v>
      </c>
      <c r="T15" s="21" t="n">
        <v>0</v>
      </c>
      <c r="U15" s="14" t="n">
        <v>0</v>
      </c>
      <c r="V15" s="15" t="s">
        <v>50</v>
      </c>
    </row>
    <row r="16" customFormat="false" ht="29.85" hidden="false" customHeight="false" outlineLevel="0" collapsed="false">
      <c r="A16" s="6" t="n">
        <v>15</v>
      </c>
      <c r="B16" s="6" t="s">
        <v>86</v>
      </c>
      <c r="C16" s="7" t="s">
        <v>87</v>
      </c>
      <c r="D16" s="8" t="s">
        <v>88</v>
      </c>
      <c r="E16" s="7" t="s">
        <v>36</v>
      </c>
      <c r="F16" s="6" t="s">
        <v>89</v>
      </c>
      <c r="G16" s="9" t="n">
        <v>5.7</v>
      </c>
      <c r="H16" s="10" t="s">
        <v>90</v>
      </c>
      <c r="I16" s="11" t="n">
        <v>0.29955</v>
      </c>
      <c r="J16" s="11" t="n">
        <v>0.56287</v>
      </c>
      <c r="K16" s="11" t="n">
        <v>0.93082</v>
      </c>
      <c r="L16" s="11" t="n">
        <v>1.28625</v>
      </c>
      <c r="M16" s="11" t="n">
        <v>1.77134</v>
      </c>
      <c r="N16" s="11" t="n">
        <v>2.81608</v>
      </c>
      <c r="O16" s="11" t="n">
        <v>4.02736</v>
      </c>
      <c r="P16" s="11" t="n">
        <v>1.44064</v>
      </c>
      <c r="Q16" s="6" t="n">
        <v>10337</v>
      </c>
      <c r="R16" s="6" t="n">
        <v>7</v>
      </c>
      <c r="S16" s="12" t="n">
        <v>0.064</v>
      </c>
      <c r="T16" s="13" t="n">
        <v>2.08599</v>
      </c>
      <c r="U16" s="6" t="n">
        <v>52</v>
      </c>
      <c r="V16" s="7" t="s">
        <v>39</v>
      </c>
    </row>
    <row r="17" customFormat="false" ht="29.85" hidden="false" customHeight="false" outlineLevel="0" collapsed="false">
      <c r="A17" s="14" t="n">
        <v>16</v>
      </c>
      <c r="B17" s="14" t="s">
        <v>91</v>
      </c>
      <c r="C17" s="15" t="s">
        <v>87</v>
      </c>
      <c r="D17" s="18" t="s">
        <v>92</v>
      </c>
      <c r="E17" s="15" t="s">
        <v>36</v>
      </c>
      <c r="F17" s="14" t="s">
        <v>93</v>
      </c>
      <c r="G17" s="17" t="n">
        <v>15.1</v>
      </c>
      <c r="H17" s="16" t="s">
        <v>94</v>
      </c>
      <c r="I17" s="19" t="n">
        <v>-5879.07851</v>
      </c>
      <c r="J17" s="19" t="n">
        <v>-3386.57345</v>
      </c>
      <c r="K17" s="19" t="n">
        <v>-329.69065</v>
      </c>
      <c r="L17" s="19" t="n">
        <v>1465.80172</v>
      </c>
      <c r="M17" s="19" t="n">
        <v>3778.83544</v>
      </c>
      <c r="N17" s="19" t="n">
        <v>9034.97963</v>
      </c>
      <c r="O17" s="19" t="n">
        <v>14853.17212</v>
      </c>
      <c r="P17" s="19" t="n">
        <v>2009.70409</v>
      </c>
      <c r="Q17" s="14" t="n">
        <v>9316</v>
      </c>
      <c r="R17" s="14" t="n">
        <v>46</v>
      </c>
      <c r="S17" s="20" t="n">
        <v>0.01908</v>
      </c>
      <c r="T17" s="21" t="n">
        <v>0.62208</v>
      </c>
      <c r="U17" s="14" t="n">
        <v>30</v>
      </c>
      <c r="V17" s="15" t="s">
        <v>39</v>
      </c>
    </row>
    <row r="18" customFormat="false" ht="15" hidden="false" customHeight="false" outlineLevel="0" collapsed="false">
      <c r="A18" s="6" t="n">
        <v>17</v>
      </c>
      <c r="B18" s="6" t="s">
        <v>95</v>
      </c>
      <c r="C18" s="7" t="s">
        <v>34</v>
      </c>
      <c r="D18" s="8" t="s">
        <v>96</v>
      </c>
      <c r="E18" s="6" t="s">
        <v>57</v>
      </c>
      <c r="F18" s="6" t="s">
        <v>57</v>
      </c>
      <c r="G18" s="9" t="n">
        <v>0</v>
      </c>
      <c r="H18" s="8" t="s">
        <v>97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0.00736</v>
      </c>
      <c r="Q18" s="6" t="n">
        <v>2</v>
      </c>
      <c r="R18" s="6" t="n">
        <v>190</v>
      </c>
      <c r="S18" s="12" t="n">
        <v>0</v>
      </c>
      <c r="T18" s="13" t="n">
        <v>0</v>
      </c>
      <c r="U18" s="6" t="n">
        <v>0</v>
      </c>
      <c r="V18" s="7" t="s">
        <v>50</v>
      </c>
    </row>
    <row r="19" customFormat="false" ht="44" hidden="false" customHeight="false" outlineLevel="0" collapsed="false">
      <c r="A19" s="14" t="n">
        <v>18</v>
      </c>
      <c r="B19" s="14" t="s">
        <v>98</v>
      </c>
      <c r="C19" s="15" t="s">
        <v>99</v>
      </c>
      <c r="D19" s="16" t="s">
        <v>100</v>
      </c>
      <c r="E19" s="14" t="s">
        <v>57</v>
      </c>
      <c r="F19" s="14" t="s">
        <v>57</v>
      </c>
      <c r="G19" s="17" t="n">
        <v>0</v>
      </c>
      <c r="H19" s="18" t="s">
        <v>101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1</v>
      </c>
      <c r="P19" s="19" t="n">
        <v>0.01827</v>
      </c>
      <c r="Q19" s="14" t="n">
        <v>2</v>
      </c>
      <c r="R19" s="14" t="n">
        <v>204</v>
      </c>
      <c r="S19" s="20" t="n">
        <v>0</v>
      </c>
      <c r="T19" s="21" t="n">
        <v>0</v>
      </c>
      <c r="U19" s="14" t="n">
        <v>0</v>
      </c>
      <c r="V19" s="15" t="s">
        <v>50</v>
      </c>
    </row>
    <row r="20" customFormat="false" ht="44" hidden="false" customHeight="false" outlineLevel="0" collapsed="false">
      <c r="A20" s="6" t="n">
        <v>19</v>
      </c>
      <c r="B20" s="6" t="s">
        <v>102</v>
      </c>
      <c r="C20" s="7" t="s">
        <v>99</v>
      </c>
      <c r="D20" s="10" t="s">
        <v>103</v>
      </c>
      <c r="E20" s="6" t="s">
        <v>57</v>
      </c>
      <c r="F20" s="6" t="s">
        <v>57</v>
      </c>
      <c r="G20" s="9" t="n">
        <v>0</v>
      </c>
      <c r="H20" s="8" t="s">
        <v>104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1</v>
      </c>
      <c r="N20" s="11" t="n">
        <v>1</v>
      </c>
      <c r="O20" s="11" t="n">
        <v>1</v>
      </c>
      <c r="P20" s="11" t="n">
        <v>0.37</v>
      </c>
      <c r="Q20" s="6" t="n">
        <v>2</v>
      </c>
      <c r="R20" s="6" t="n">
        <v>206</v>
      </c>
      <c r="S20" s="12" t="n">
        <v>0</v>
      </c>
      <c r="T20" s="13" t="n">
        <v>0</v>
      </c>
      <c r="U20" s="6" t="n">
        <v>0</v>
      </c>
      <c r="V20" s="7" t="s">
        <v>50</v>
      </c>
    </row>
    <row r="21" customFormat="false" ht="44" hidden="false" customHeight="false" outlineLevel="0" collapsed="false">
      <c r="A21" s="14" t="n">
        <v>20</v>
      </c>
      <c r="B21" s="14" t="s">
        <v>105</v>
      </c>
      <c r="C21" s="15" t="s">
        <v>99</v>
      </c>
      <c r="D21" s="16" t="s">
        <v>106</v>
      </c>
      <c r="E21" s="14" t="s">
        <v>57</v>
      </c>
      <c r="F21" s="14" t="s">
        <v>57</v>
      </c>
      <c r="G21" s="17" t="n">
        <v>0</v>
      </c>
      <c r="H21" s="18" t="s">
        <v>107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1</v>
      </c>
      <c r="O21" s="19" t="n">
        <v>1</v>
      </c>
      <c r="P21" s="19" t="n">
        <v>0.11473</v>
      </c>
      <c r="Q21" s="14" t="n">
        <v>2</v>
      </c>
      <c r="R21" s="14" t="n">
        <v>35</v>
      </c>
      <c r="S21" s="20" t="n">
        <v>0.0246</v>
      </c>
      <c r="T21" s="21" t="n">
        <v>0.80175</v>
      </c>
      <c r="U21" s="14" t="n">
        <v>19</v>
      </c>
      <c r="V21" s="15" t="s">
        <v>39</v>
      </c>
    </row>
    <row r="22" customFormat="false" ht="29.85" hidden="false" customHeight="false" outlineLevel="0" collapsed="false">
      <c r="A22" s="6" t="n">
        <v>21</v>
      </c>
      <c r="B22" s="6" t="s">
        <v>108</v>
      </c>
      <c r="C22" s="7" t="s">
        <v>99</v>
      </c>
      <c r="D22" s="10" t="s">
        <v>109</v>
      </c>
      <c r="E22" s="6" t="s">
        <v>57</v>
      </c>
      <c r="F22" s="6" t="s">
        <v>57</v>
      </c>
      <c r="G22" s="9" t="n">
        <v>0</v>
      </c>
      <c r="H22" s="8" t="s">
        <v>110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0.00082</v>
      </c>
      <c r="Q22" s="6" t="n">
        <v>2</v>
      </c>
      <c r="R22" s="6" t="n">
        <v>207</v>
      </c>
      <c r="S22" s="12" t="n">
        <v>0</v>
      </c>
      <c r="T22" s="13" t="n">
        <v>0</v>
      </c>
      <c r="U22" s="6" t="n">
        <v>0</v>
      </c>
      <c r="V22" s="7" t="s">
        <v>50</v>
      </c>
    </row>
    <row r="23" customFormat="false" ht="29.85" hidden="false" customHeight="false" outlineLevel="0" collapsed="false">
      <c r="A23" s="14" t="n">
        <v>22</v>
      </c>
      <c r="B23" s="14" t="s">
        <v>111</v>
      </c>
      <c r="C23" s="15" t="s">
        <v>99</v>
      </c>
      <c r="D23" s="16" t="s">
        <v>112</v>
      </c>
      <c r="E23" s="14" t="s">
        <v>57</v>
      </c>
      <c r="F23" s="14" t="s">
        <v>57</v>
      </c>
      <c r="G23" s="17" t="n">
        <v>0</v>
      </c>
      <c r="H23" s="18" t="s">
        <v>113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0.00209</v>
      </c>
      <c r="Q23" s="14" t="n">
        <v>2</v>
      </c>
      <c r="R23" s="14" t="n">
        <v>208</v>
      </c>
      <c r="S23" s="20" t="n">
        <v>0</v>
      </c>
      <c r="T23" s="21" t="n">
        <v>0</v>
      </c>
      <c r="U23" s="14" t="n">
        <v>0</v>
      </c>
      <c r="V23" s="15" t="s">
        <v>50</v>
      </c>
    </row>
    <row r="24" customFormat="false" ht="44" hidden="false" customHeight="false" outlineLevel="0" collapsed="false">
      <c r="A24" s="6" t="n">
        <v>23</v>
      </c>
      <c r="B24" s="6" t="s">
        <v>114</v>
      </c>
      <c r="C24" s="7" t="s">
        <v>99</v>
      </c>
      <c r="D24" s="10" t="s">
        <v>115</v>
      </c>
      <c r="E24" s="6" t="s">
        <v>57</v>
      </c>
      <c r="F24" s="6" t="s">
        <v>57</v>
      </c>
      <c r="G24" s="9" t="n">
        <v>0</v>
      </c>
      <c r="H24" s="8" t="s">
        <v>116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1</v>
      </c>
      <c r="P24" s="11" t="n">
        <v>0.04218</v>
      </c>
      <c r="Q24" s="6" t="n">
        <v>2</v>
      </c>
      <c r="R24" s="6" t="n">
        <v>205</v>
      </c>
      <c r="S24" s="12" t="n">
        <v>0</v>
      </c>
      <c r="T24" s="13" t="n">
        <v>0</v>
      </c>
      <c r="U24" s="6" t="n">
        <v>0</v>
      </c>
      <c r="V24" s="7" t="s">
        <v>50</v>
      </c>
    </row>
    <row r="25" customFormat="false" ht="29.85" hidden="false" customHeight="false" outlineLevel="0" collapsed="false">
      <c r="A25" s="14" t="n">
        <v>24</v>
      </c>
      <c r="B25" s="14" t="s">
        <v>117</v>
      </c>
      <c r="C25" s="15" t="s">
        <v>99</v>
      </c>
      <c r="D25" s="16" t="s">
        <v>118</v>
      </c>
      <c r="E25" s="14" t="s">
        <v>57</v>
      </c>
      <c r="F25" s="14" t="s">
        <v>57</v>
      </c>
      <c r="G25" s="17" t="n">
        <v>0</v>
      </c>
      <c r="H25" s="18" t="s">
        <v>119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1</v>
      </c>
      <c r="P25" s="19" t="n">
        <v>0.04418</v>
      </c>
      <c r="Q25" s="14" t="n">
        <v>2</v>
      </c>
      <c r="R25" s="14" t="n">
        <v>211</v>
      </c>
      <c r="S25" s="20" t="n">
        <v>0</v>
      </c>
      <c r="T25" s="21" t="n">
        <v>0</v>
      </c>
      <c r="U25" s="14" t="n">
        <v>0</v>
      </c>
      <c r="V25" s="15" t="s">
        <v>50</v>
      </c>
    </row>
    <row r="26" customFormat="false" ht="29.85" hidden="false" customHeight="false" outlineLevel="0" collapsed="false">
      <c r="A26" s="6" t="n">
        <v>25</v>
      </c>
      <c r="B26" s="6" t="s">
        <v>120</v>
      </c>
      <c r="C26" s="7" t="s">
        <v>99</v>
      </c>
      <c r="D26" s="10" t="s">
        <v>121</v>
      </c>
      <c r="E26" s="6" t="s">
        <v>57</v>
      </c>
      <c r="F26" s="6" t="s">
        <v>57</v>
      </c>
      <c r="G26" s="9" t="n">
        <v>0</v>
      </c>
      <c r="H26" s="8" t="s">
        <v>122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1</v>
      </c>
      <c r="N26" s="11" t="n">
        <v>1</v>
      </c>
      <c r="O26" s="11" t="n">
        <v>1</v>
      </c>
      <c r="P26" s="11" t="n">
        <v>0.30609</v>
      </c>
      <c r="Q26" s="6" t="n">
        <v>2</v>
      </c>
      <c r="R26" s="6" t="n">
        <v>9</v>
      </c>
      <c r="S26" s="12" t="n">
        <v>0.05423</v>
      </c>
      <c r="T26" s="13" t="n">
        <v>1.76768</v>
      </c>
      <c r="U26" s="6" t="n">
        <v>13</v>
      </c>
      <c r="V26" s="7" t="s">
        <v>39</v>
      </c>
    </row>
    <row r="27" customFormat="false" ht="29.85" hidden="false" customHeight="false" outlineLevel="0" collapsed="false">
      <c r="A27" s="14" t="n">
        <v>26</v>
      </c>
      <c r="B27" s="14" t="s">
        <v>123</v>
      </c>
      <c r="C27" s="15" t="s">
        <v>99</v>
      </c>
      <c r="D27" s="16" t="s">
        <v>124</v>
      </c>
      <c r="E27" s="14" t="s">
        <v>57</v>
      </c>
      <c r="F27" s="14" t="s">
        <v>57</v>
      </c>
      <c r="G27" s="17" t="n">
        <v>0</v>
      </c>
      <c r="H27" s="18" t="s">
        <v>125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1</v>
      </c>
      <c r="O27" s="19" t="n">
        <v>1</v>
      </c>
      <c r="P27" s="19" t="n">
        <v>0.14018</v>
      </c>
      <c r="Q27" s="14" t="n">
        <v>2</v>
      </c>
      <c r="R27" s="14" t="n">
        <v>210</v>
      </c>
      <c r="S27" s="20" t="n">
        <v>0</v>
      </c>
      <c r="T27" s="21" t="n">
        <v>0</v>
      </c>
      <c r="U27" s="14" t="n">
        <v>0</v>
      </c>
      <c r="V27" s="15" t="s">
        <v>50</v>
      </c>
    </row>
    <row r="28" customFormat="false" ht="29.85" hidden="false" customHeight="false" outlineLevel="0" collapsed="false">
      <c r="A28" s="6" t="n">
        <v>27</v>
      </c>
      <c r="B28" s="6" t="s">
        <v>126</v>
      </c>
      <c r="C28" s="7" t="s">
        <v>99</v>
      </c>
      <c r="D28" s="10" t="s">
        <v>127</v>
      </c>
      <c r="E28" s="6" t="s">
        <v>57</v>
      </c>
      <c r="F28" s="6" t="s">
        <v>57</v>
      </c>
      <c r="G28" s="9" t="n">
        <v>0</v>
      </c>
      <c r="H28" s="8" t="s">
        <v>128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1</v>
      </c>
      <c r="P28" s="11" t="n">
        <v>0.01473</v>
      </c>
      <c r="Q28" s="6" t="n">
        <v>2</v>
      </c>
      <c r="R28" s="6" t="n">
        <v>209</v>
      </c>
      <c r="S28" s="12" t="n">
        <v>0</v>
      </c>
      <c r="T28" s="13" t="n">
        <v>0</v>
      </c>
      <c r="U28" s="6" t="n">
        <v>0</v>
      </c>
      <c r="V28" s="7" t="s">
        <v>50</v>
      </c>
    </row>
    <row r="29" customFormat="false" ht="15" hidden="false" customHeight="false" outlineLevel="0" collapsed="false">
      <c r="A29" s="14" t="n">
        <v>28</v>
      </c>
      <c r="B29" s="14" t="s">
        <v>129</v>
      </c>
      <c r="C29" s="15" t="s">
        <v>99</v>
      </c>
      <c r="D29" s="18" t="s">
        <v>130</v>
      </c>
      <c r="E29" s="15" t="s">
        <v>72</v>
      </c>
      <c r="F29" s="15" t="s">
        <v>131</v>
      </c>
      <c r="G29" s="17" t="n">
        <v>0</v>
      </c>
      <c r="H29" s="16" t="s">
        <v>132</v>
      </c>
      <c r="I29" s="19" t="n">
        <v>0</v>
      </c>
      <c r="J29" s="19" t="n">
        <v>0</v>
      </c>
      <c r="K29" s="19" t="n">
        <v>0</v>
      </c>
      <c r="L29" s="19" t="n">
        <v>1</v>
      </c>
      <c r="M29" s="19" t="n">
        <v>2</v>
      </c>
      <c r="N29" s="19" t="n">
        <v>3</v>
      </c>
      <c r="O29" s="19" t="n">
        <v>4</v>
      </c>
      <c r="P29" s="19" t="n">
        <v>1.05327</v>
      </c>
      <c r="Q29" s="14" t="n">
        <v>6</v>
      </c>
      <c r="R29" s="14" t="n">
        <v>11</v>
      </c>
      <c r="S29" s="20" t="n">
        <v>0.05182</v>
      </c>
      <c r="T29" s="21" t="n">
        <v>1.68901</v>
      </c>
      <c r="U29" s="14" t="n">
        <v>23</v>
      </c>
      <c r="V29" s="15" t="s">
        <v>39</v>
      </c>
    </row>
    <row r="30" customFormat="false" ht="29.85" hidden="false" customHeight="false" outlineLevel="0" collapsed="false">
      <c r="A30" s="6" t="n">
        <v>29</v>
      </c>
      <c r="B30" s="6" t="s">
        <v>133</v>
      </c>
      <c r="C30" s="7" t="s">
        <v>134</v>
      </c>
      <c r="D30" s="8" t="s">
        <v>135</v>
      </c>
      <c r="E30" s="6" t="s">
        <v>57</v>
      </c>
      <c r="F30" s="6" t="s">
        <v>57</v>
      </c>
      <c r="G30" s="9" t="n">
        <v>0</v>
      </c>
      <c r="H30" s="8" t="s">
        <v>136</v>
      </c>
      <c r="I30" s="11" t="n">
        <v>0</v>
      </c>
      <c r="J30" s="11" t="n">
        <v>0</v>
      </c>
      <c r="K30" s="11" t="n">
        <v>0</v>
      </c>
      <c r="L30" s="11" t="n">
        <v>1</v>
      </c>
      <c r="M30" s="11" t="n">
        <v>1</v>
      </c>
      <c r="N30" s="11" t="n">
        <v>1</v>
      </c>
      <c r="O30" s="11" t="n">
        <v>1</v>
      </c>
      <c r="P30" s="11" t="n">
        <v>0.69545</v>
      </c>
      <c r="Q30" s="6" t="n">
        <v>2</v>
      </c>
      <c r="R30" s="6" t="n">
        <v>188</v>
      </c>
      <c r="S30" s="12" t="n">
        <v>0.00036</v>
      </c>
      <c r="T30" s="13" t="n">
        <v>0.0117</v>
      </c>
      <c r="U30" s="6" t="n">
        <v>1</v>
      </c>
      <c r="V30" s="7" t="s">
        <v>39</v>
      </c>
    </row>
    <row r="31" customFormat="false" ht="29.85" hidden="false" customHeight="false" outlineLevel="0" collapsed="false">
      <c r="A31" s="14" t="n">
        <v>30</v>
      </c>
      <c r="B31" s="14" t="s">
        <v>137</v>
      </c>
      <c r="C31" s="15" t="s">
        <v>134</v>
      </c>
      <c r="D31" s="18" t="s">
        <v>138</v>
      </c>
      <c r="E31" s="14" t="s">
        <v>57</v>
      </c>
      <c r="F31" s="14" t="s">
        <v>57</v>
      </c>
      <c r="G31" s="17" t="n">
        <v>0</v>
      </c>
      <c r="H31" s="18" t="s">
        <v>139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1</v>
      </c>
      <c r="O31" s="19" t="n">
        <v>1</v>
      </c>
      <c r="P31" s="19" t="n">
        <v>0.14864</v>
      </c>
      <c r="Q31" s="14" t="n">
        <v>2</v>
      </c>
      <c r="R31" s="14" t="n">
        <v>164</v>
      </c>
      <c r="S31" s="20" t="n">
        <v>0.00091</v>
      </c>
      <c r="T31" s="21" t="n">
        <v>0.0297</v>
      </c>
      <c r="U31" s="14" t="n">
        <v>1</v>
      </c>
      <c r="V31" s="15" t="s">
        <v>39</v>
      </c>
    </row>
    <row r="32" customFormat="false" ht="29.85" hidden="false" customHeight="false" outlineLevel="0" collapsed="false">
      <c r="A32" s="6" t="n">
        <v>31</v>
      </c>
      <c r="B32" s="6" t="s">
        <v>140</v>
      </c>
      <c r="C32" s="7" t="s">
        <v>134</v>
      </c>
      <c r="D32" s="8" t="s">
        <v>141</v>
      </c>
      <c r="E32" s="6" t="s">
        <v>57</v>
      </c>
      <c r="F32" s="6" t="s">
        <v>57</v>
      </c>
      <c r="G32" s="9" t="n">
        <v>0</v>
      </c>
      <c r="H32" s="8" t="s">
        <v>142</v>
      </c>
      <c r="I32" s="11" t="n">
        <v>0</v>
      </c>
      <c r="J32" s="11" t="n">
        <v>0</v>
      </c>
      <c r="K32" s="11" t="n">
        <v>1</v>
      </c>
      <c r="L32" s="11" t="n">
        <v>1</v>
      </c>
      <c r="M32" s="11" t="n">
        <v>1</v>
      </c>
      <c r="N32" s="11" t="n">
        <v>1</v>
      </c>
      <c r="O32" s="11" t="n">
        <v>1</v>
      </c>
      <c r="P32" s="11" t="n">
        <v>0.75136</v>
      </c>
      <c r="Q32" s="6" t="n">
        <v>2</v>
      </c>
      <c r="R32" s="6" t="n">
        <v>212</v>
      </c>
      <c r="S32" s="12" t="n">
        <v>0</v>
      </c>
      <c r="T32" s="13" t="n">
        <v>0</v>
      </c>
      <c r="U32" s="6" t="n">
        <v>0</v>
      </c>
      <c r="V32" s="7" t="s">
        <v>50</v>
      </c>
    </row>
    <row r="33" customFormat="false" ht="29.85" hidden="false" customHeight="false" outlineLevel="0" collapsed="false">
      <c r="A33" s="14" t="n">
        <v>32</v>
      </c>
      <c r="B33" s="14" t="s">
        <v>143</v>
      </c>
      <c r="C33" s="15" t="s">
        <v>134</v>
      </c>
      <c r="D33" s="18" t="s">
        <v>144</v>
      </c>
      <c r="E33" s="14" t="s">
        <v>57</v>
      </c>
      <c r="F33" s="14" t="s">
        <v>57</v>
      </c>
      <c r="G33" s="17" t="n">
        <v>0</v>
      </c>
      <c r="H33" s="18" t="s">
        <v>58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1</v>
      </c>
      <c r="P33" s="19" t="n">
        <v>0.019</v>
      </c>
      <c r="Q33" s="14" t="n">
        <v>2</v>
      </c>
      <c r="R33" s="14" t="n">
        <v>213</v>
      </c>
      <c r="S33" s="20" t="n">
        <v>0</v>
      </c>
      <c r="T33" s="21" t="n">
        <v>0</v>
      </c>
      <c r="U33" s="14" t="n">
        <v>0</v>
      </c>
      <c r="V33" s="15" t="s">
        <v>50</v>
      </c>
    </row>
    <row r="34" customFormat="false" ht="29.85" hidden="false" customHeight="false" outlineLevel="0" collapsed="false">
      <c r="A34" s="6" t="n">
        <v>33</v>
      </c>
      <c r="B34" s="6" t="s">
        <v>145</v>
      </c>
      <c r="C34" s="7" t="s">
        <v>134</v>
      </c>
      <c r="D34" s="8" t="s">
        <v>146</v>
      </c>
      <c r="E34" s="6" t="s">
        <v>57</v>
      </c>
      <c r="F34" s="6" t="s">
        <v>57</v>
      </c>
      <c r="G34" s="9" t="n">
        <v>0</v>
      </c>
      <c r="H34" s="8" t="s">
        <v>147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1</v>
      </c>
      <c r="O34" s="11" t="n">
        <v>1</v>
      </c>
      <c r="P34" s="11" t="n">
        <v>0.05664</v>
      </c>
      <c r="Q34" s="6" t="n">
        <v>2</v>
      </c>
      <c r="R34" s="6" t="n">
        <v>185</v>
      </c>
      <c r="S34" s="12" t="n">
        <v>0.00047</v>
      </c>
      <c r="T34" s="13" t="n">
        <v>0.01548</v>
      </c>
      <c r="U34" s="6" t="n">
        <v>1</v>
      </c>
      <c r="V34" s="7" t="s">
        <v>39</v>
      </c>
    </row>
    <row r="35" customFormat="false" ht="29.85" hidden="false" customHeight="false" outlineLevel="0" collapsed="false">
      <c r="A35" s="14" t="n">
        <v>34</v>
      </c>
      <c r="B35" s="14" t="s">
        <v>148</v>
      </c>
      <c r="C35" s="15" t="s">
        <v>134</v>
      </c>
      <c r="D35" s="18" t="s">
        <v>149</v>
      </c>
      <c r="E35" s="14" t="s">
        <v>57</v>
      </c>
      <c r="F35" s="14" t="s">
        <v>57</v>
      </c>
      <c r="G35" s="17" t="n">
        <v>0</v>
      </c>
      <c r="H35" s="18" t="s">
        <v>150</v>
      </c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1</v>
      </c>
      <c r="N35" s="19" t="n">
        <v>1</v>
      </c>
      <c r="O35" s="19" t="n">
        <v>1</v>
      </c>
      <c r="P35" s="19" t="n">
        <v>0.34527</v>
      </c>
      <c r="Q35" s="14" t="n">
        <v>2</v>
      </c>
      <c r="R35" s="14" t="n">
        <v>214</v>
      </c>
      <c r="S35" s="20" t="n">
        <v>0</v>
      </c>
      <c r="T35" s="21" t="n">
        <v>0</v>
      </c>
      <c r="U35" s="14" t="n">
        <v>0</v>
      </c>
      <c r="V35" s="15" t="s">
        <v>50</v>
      </c>
    </row>
    <row r="36" customFormat="false" ht="29.85" hidden="false" customHeight="false" outlineLevel="0" collapsed="false">
      <c r="A36" s="6" t="n">
        <v>35</v>
      </c>
      <c r="B36" s="6" t="s">
        <v>151</v>
      </c>
      <c r="C36" s="7" t="s">
        <v>134</v>
      </c>
      <c r="D36" s="8" t="s">
        <v>152</v>
      </c>
      <c r="E36" s="6" t="s">
        <v>57</v>
      </c>
      <c r="F36" s="6" t="s">
        <v>57</v>
      </c>
      <c r="G36" s="9" t="n">
        <v>0</v>
      </c>
      <c r="H36" s="8" t="s">
        <v>153</v>
      </c>
      <c r="I36" s="11" t="n">
        <v>0</v>
      </c>
      <c r="J36" s="11" t="n">
        <v>0</v>
      </c>
      <c r="K36" s="11" t="n">
        <v>1</v>
      </c>
      <c r="L36" s="11" t="n">
        <v>1</v>
      </c>
      <c r="M36" s="11" t="n">
        <v>1</v>
      </c>
      <c r="N36" s="11" t="n">
        <v>1</v>
      </c>
      <c r="O36" s="11" t="n">
        <v>1</v>
      </c>
      <c r="P36" s="11" t="n">
        <v>0.93809</v>
      </c>
      <c r="Q36" s="6" t="n">
        <v>2</v>
      </c>
      <c r="R36" s="6" t="n">
        <v>215</v>
      </c>
      <c r="S36" s="12" t="n">
        <v>0</v>
      </c>
      <c r="T36" s="13" t="n">
        <v>0</v>
      </c>
      <c r="U36" s="6" t="n">
        <v>0</v>
      </c>
      <c r="V36" s="7" t="s">
        <v>50</v>
      </c>
    </row>
    <row r="37" customFormat="false" ht="29.85" hidden="false" customHeight="false" outlineLevel="0" collapsed="false">
      <c r="A37" s="14" t="n">
        <v>36</v>
      </c>
      <c r="B37" s="14" t="s">
        <v>154</v>
      </c>
      <c r="C37" s="15" t="s">
        <v>134</v>
      </c>
      <c r="D37" s="18" t="s">
        <v>155</v>
      </c>
      <c r="E37" s="14" t="s">
        <v>57</v>
      </c>
      <c r="F37" s="14" t="s">
        <v>57</v>
      </c>
      <c r="G37" s="17" t="n">
        <v>0</v>
      </c>
      <c r="H37" s="18" t="s">
        <v>156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1</v>
      </c>
      <c r="O37" s="19" t="n">
        <v>1</v>
      </c>
      <c r="P37" s="19" t="n">
        <v>0.05327</v>
      </c>
      <c r="Q37" s="14" t="n">
        <v>2</v>
      </c>
      <c r="R37" s="14" t="n">
        <v>216</v>
      </c>
      <c r="S37" s="20" t="n">
        <v>0</v>
      </c>
      <c r="T37" s="21" t="n">
        <v>0</v>
      </c>
      <c r="U37" s="14" t="n">
        <v>0</v>
      </c>
      <c r="V37" s="15" t="s">
        <v>50</v>
      </c>
    </row>
    <row r="38" customFormat="false" ht="29.85" hidden="false" customHeight="false" outlineLevel="0" collapsed="false">
      <c r="A38" s="6" t="n">
        <v>37</v>
      </c>
      <c r="B38" s="6" t="s">
        <v>157</v>
      </c>
      <c r="C38" s="7" t="s">
        <v>134</v>
      </c>
      <c r="D38" s="8" t="s">
        <v>158</v>
      </c>
      <c r="E38" s="6" t="s">
        <v>57</v>
      </c>
      <c r="F38" s="6" t="s">
        <v>57</v>
      </c>
      <c r="G38" s="9" t="n">
        <v>0</v>
      </c>
      <c r="H38" s="8" t="s">
        <v>159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1</v>
      </c>
      <c r="P38" s="11" t="n">
        <v>0.01136</v>
      </c>
      <c r="Q38" s="6" t="n">
        <v>2</v>
      </c>
      <c r="R38" s="6" t="n">
        <v>201</v>
      </c>
      <c r="S38" s="12" t="n">
        <v>0</v>
      </c>
      <c r="T38" s="13" t="n">
        <v>0</v>
      </c>
      <c r="U38" s="6" t="n">
        <v>0</v>
      </c>
      <c r="V38" s="7" t="s">
        <v>50</v>
      </c>
    </row>
    <row r="39" customFormat="false" ht="29.85" hidden="false" customHeight="false" outlineLevel="0" collapsed="false">
      <c r="A39" s="14" t="n">
        <v>38</v>
      </c>
      <c r="B39" s="14" t="s">
        <v>160</v>
      </c>
      <c r="C39" s="15" t="s">
        <v>134</v>
      </c>
      <c r="D39" s="18" t="s">
        <v>161</v>
      </c>
      <c r="E39" s="14" t="s">
        <v>57</v>
      </c>
      <c r="F39" s="14" t="s">
        <v>57</v>
      </c>
      <c r="G39" s="17" t="n">
        <v>0</v>
      </c>
      <c r="H39" s="18" t="s">
        <v>162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1</v>
      </c>
      <c r="O39" s="19" t="n">
        <v>1</v>
      </c>
      <c r="P39" s="19" t="n">
        <v>0.08327</v>
      </c>
      <c r="Q39" s="14" t="n">
        <v>2</v>
      </c>
      <c r="R39" s="14" t="n">
        <v>195</v>
      </c>
      <c r="S39" s="20" t="n">
        <v>0</v>
      </c>
      <c r="T39" s="21" t="n">
        <v>0</v>
      </c>
      <c r="U39" s="14" t="n">
        <v>0</v>
      </c>
      <c r="V39" s="15" t="s">
        <v>50</v>
      </c>
    </row>
    <row r="40" customFormat="false" ht="29.85" hidden="false" customHeight="false" outlineLevel="0" collapsed="false">
      <c r="A40" s="6" t="n">
        <v>39</v>
      </c>
      <c r="B40" s="6" t="s">
        <v>163</v>
      </c>
      <c r="C40" s="7" t="s">
        <v>134</v>
      </c>
      <c r="D40" s="8" t="s">
        <v>164</v>
      </c>
      <c r="E40" s="6" t="s">
        <v>57</v>
      </c>
      <c r="F40" s="6" t="s">
        <v>57</v>
      </c>
      <c r="G40" s="9" t="n">
        <v>0</v>
      </c>
      <c r="H40" s="8" t="s">
        <v>165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1</v>
      </c>
      <c r="P40" s="11" t="n">
        <v>0.02918</v>
      </c>
      <c r="Q40" s="6" t="n">
        <v>2</v>
      </c>
      <c r="R40" s="6" t="n">
        <v>196</v>
      </c>
      <c r="S40" s="12" t="n">
        <v>0</v>
      </c>
      <c r="T40" s="13" t="n">
        <v>0</v>
      </c>
      <c r="U40" s="6" t="n">
        <v>0</v>
      </c>
      <c r="V40" s="7" t="s">
        <v>50</v>
      </c>
    </row>
    <row r="41" customFormat="false" ht="29.85" hidden="false" customHeight="false" outlineLevel="0" collapsed="false">
      <c r="A41" s="14" t="n">
        <v>40</v>
      </c>
      <c r="B41" s="14" t="s">
        <v>166</v>
      </c>
      <c r="C41" s="15" t="s">
        <v>134</v>
      </c>
      <c r="D41" s="18" t="s">
        <v>167</v>
      </c>
      <c r="E41" s="14" t="s">
        <v>57</v>
      </c>
      <c r="F41" s="14" t="s">
        <v>57</v>
      </c>
      <c r="G41" s="17" t="n">
        <v>0</v>
      </c>
      <c r="H41" s="18" t="s">
        <v>168</v>
      </c>
      <c r="I41" s="19" t="n">
        <v>0</v>
      </c>
      <c r="J41" s="19" t="n">
        <v>0</v>
      </c>
      <c r="K41" s="19" t="n">
        <v>0</v>
      </c>
      <c r="L41" s="19" t="n">
        <v>1</v>
      </c>
      <c r="M41" s="19" t="n">
        <v>1</v>
      </c>
      <c r="N41" s="19" t="n">
        <v>1</v>
      </c>
      <c r="O41" s="19" t="n">
        <v>1</v>
      </c>
      <c r="P41" s="19" t="n">
        <v>0.55891</v>
      </c>
      <c r="Q41" s="14" t="n">
        <v>2</v>
      </c>
      <c r="R41" s="14" t="n">
        <v>176</v>
      </c>
      <c r="S41" s="20" t="n">
        <v>0.00059</v>
      </c>
      <c r="T41" s="21" t="n">
        <v>0.01938</v>
      </c>
      <c r="U41" s="14" t="n">
        <v>1</v>
      </c>
      <c r="V41" s="15" t="s">
        <v>39</v>
      </c>
    </row>
    <row r="42" customFormat="false" ht="29.85" hidden="false" customHeight="false" outlineLevel="0" collapsed="false">
      <c r="A42" s="6" t="n">
        <v>41</v>
      </c>
      <c r="B42" s="6" t="s">
        <v>169</v>
      </c>
      <c r="C42" s="7" t="s">
        <v>134</v>
      </c>
      <c r="D42" s="8" t="s">
        <v>170</v>
      </c>
      <c r="E42" s="6" t="s">
        <v>57</v>
      </c>
      <c r="F42" s="6" t="s">
        <v>57</v>
      </c>
      <c r="G42" s="9" t="n">
        <v>0</v>
      </c>
      <c r="H42" s="8" t="s">
        <v>171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1</v>
      </c>
      <c r="O42" s="11" t="n">
        <v>1</v>
      </c>
      <c r="P42" s="11" t="n">
        <v>0.08618</v>
      </c>
      <c r="Q42" s="6" t="n">
        <v>2</v>
      </c>
      <c r="R42" s="6" t="n">
        <v>203</v>
      </c>
      <c r="S42" s="12" t="n">
        <v>0</v>
      </c>
      <c r="T42" s="13" t="n">
        <v>0</v>
      </c>
      <c r="U42" s="6" t="n">
        <v>0</v>
      </c>
      <c r="V42" s="7" t="s">
        <v>50</v>
      </c>
    </row>
    <row r="43" customFormat="false" ht="29.85" hidden="false" customHeight="false" outlineLevel="0" collapsed="false">
      <c r="A43" s="14" t="n">
        <v>42</v>
      </c>
      <c r="B43" s="14" t="s">
        <v>172</v>
      </c>
      <c r="C43" s="15" t="s">
        <v>134</v>
      </c>
      <c r="D43" s="18" t="s">
        <v>173</v>
      </c>
      <c r="E43" s="14" t="s">
        <v>57</v>
      </c>
      <c r="F43" s="14" t="s">
        <v>57</v>
      </c>
      <c r="G43" s="17" t="n">
        <v>0</v>
      </c>
      <c r="H43" s="18" t="s">
        <v>174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1</v>
      </c>
      <c r="O43" s="19" t="n">
        <v>1</v>
      </c>
      <c r="P43" s="19" t="n">
        <v>0.07245</v>
      </c>
      <c r="Q43" s="14" t="n">
        <v>2</v>
      </c>
      <c r="R43" s="14" t="n">
        <v>155</v>
      </c>
      <c r="S43" s="20" t="n">
        <v>0.00164</v>
      </c>
      <c r="T43" s="21" t="n">
        <v>0.05338</v>
      </c>
      <c r="U43" s="14" t="n">
        <v>2</v>
      </c>
      <c r="V43" s="15" t="s">
        <v>39</v>
      </c>
    </row>
    <row r="44" customFormat="false" ht="29.85" hidden="false" customHeight="false" outlineLevel="0" collapsed="false">
      <c r="A44" s="6" t="n">
        <v>43</v>
      </c>
      <c r="B44" s="6" t="s">
        <v>175</v>
      </c>
      <c r="C44" s="7" t="s">
        <v>134</v>
      </c>
      <c r="D44" s="8" t="s">
        <v>176</v>
      </c>
      <c r="E44" s="6" t="s">
        <v>57</v>
      </c>
      <c r="F44" s="6" t="s">
        <v>57</v>
      </c>
      <c r="G44" s="9" t="n">
        <v>0</v>
      </c>
      <c r="H44" s="8" t="s">
        <v>177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1</v>
      </c>
      <c r="O44" s="11" t="n">
        <v>1</v>
      </c>
      <c r="P44" s="11" t="n">
        <v>0.12991</v>
      </c>
      <c r="Q44" s="6" t="n">
        <v>2</v>
      </c>
      <c r="R44" s="6" t="n">
        <v>137</v>
      </c>
      <c r="S44" s="12" t="n">
        <v>0.00306</v>
      </c>
      <c r="T44" s="13" t="n">
        <v>0.09982</v>
      </c>
      <c r="U44" s="6" t="n">
        <v>3</v>
      </c>
      <c r="V44" s="7" t="s">
        <v>39</v>
      </c>
    </row>
    <row r="45" customFormat="false" ht="29.85" hidden="false" customHeight="false" outlineLevel="0" collapsed="false">
      <c r="A45" s="14" t="n">
        <v>44</v>
      </c>
      <c r="B45" s="14" t="s">
        <v>178</v>
      </c>
      <c r="C45" s="15" t="s">
        <v>134</v>
      </c>
      <c r="D45" s="18" t="s">
        <v>179</v>
      </c>
      <c r="E45" s="14" t="s">
        <v>57</v>
      </c>
      <c r="F45" s="14" t="s">
        <v>57</v>
      </c>
      <c r="G45" s="17" t="n">
        <v>0</v>
      </c>
      <c r="H45" s="18" t="s">
        <v>180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1</v>
      </c>
      <c r="P45" s="19" t="n">
        <v>0.03264</v>
      </c>
      <c r="Q45" s="14" t="n">
        <v>2</v>
      </c>
      <c r="R45" s="14" t="n">
        <v>202</v>
      </c>
      <c r="S45" s="20" t="n">
        <v>0</v>
      </c>
      <c r="T45" s="21" t="n">
        <v>0</v>
      </c>
      <c r="U45" s="14" t="n">
        <v>0</v>
      </c>
      <c r="V45" s="15" t="s">
        <v>50</v>
      </c>
    </row>
    <row r="46" customFormat="false" ht="29.85" hidden="false" customHeight="false" outlineLevel="0" collapsed="false">
      <c r="A46" s="6" t="n">
        <v>45</v>
      </c>
      <c r="B46" s="6" t="s">
        <v>181</v>
      </c>
      <c r="C46" s="7" t="s">
        <v>134</v>
      </c>
      <c r="D46" s="8" t="s">
        <v>182</v>
      </c>
      <c r="E46" s="6" t="s">
        <v>57</v>
      </c>
      <c r="F46" s="6" t="s">
        <v>57</v>
      </c>
      <c r="G46" s="9" t="n">
        <v>0</v>
      </c>
      <c r="H46" s="8" t="s">
        <v>183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1</v>
      </c>
      <c r="P46" s="11" t="n">
        <v>0.01182</v>
      </c>
      <c r="Q46" s="6" t="n">
        <v>2</v>
      </c>
      <c r="R46" s="6" t="n">
        <v>197</v>
      </c>
      <c r="S46" s="12" t="n">
        <v>0</v>
      </c>
      <c r="T46" s="13" t="n">
        <v>0</v>
      </c>
      <c r="U46" s="6" t="n">
        <v>0</v>
      </c>
      <c r="V46" s="7" t="s">
        <v>50</v>
      </c>
    </row>
    <row r="47" customFormat="false" ht="29.85" hidden="false" customHeight="false" outlineLevel="0" collapsed="false">
      <c r="A47" s="14" t="n">
        <v>46</v>
      </c>
      <c r="B47" s="14" t="s">
        <v>184</v>
      </c>
      <c r="C47" s="15" t="s">
        <v>134</v>
      </c>
      <c r="D47" s="18" t="s">
        <v>185</v>
      </c>
      <c r="E47" s="14" t="s">
        <v>57</v>
      </c>
      <c r="F47" s="14" t="s">
        <v>57</v>
      </c>
      <c r="G47" s="17" t="n">
        <v>0</v>
      </c>
      <c r="H47" s="18" t="s">
        <v>186</v>
      </c>
      <c r="I47" s="19" t="n">
        <v>0</v>
      </c>
      <c r="J47" s="19" t="n">
        <v>0</v>
      </c>
      <c r="K47" s="19" t="n">
        <v>0</v>
      </c>
      <c r="L47" s="19" t="n">
        <v>1</v>
      </c>
      <c r="M47" s="19" t="n">
        <v>1</v>
      </c>
      <c r="N47" s="19" t="n">
        <v>1</v>
      </c>
      <c r="O47" s="19" t="n">
        <v>1</v>
      </c>
      <c r="P47" s="19" t="n">
        <v>0.62764</v>
      </c>
      <c r="Q47" s="14" t="n">
        <v>2</v>
      </c>
      <c r="R47" s="14" t="n">
        <v>178</v>
      </c>
      <c r="S47" s="20" t="n">
        <v>0.00058</v>
      </c>
      <c r="T47" s="21" t="n">
        <v>0.01874</v>
      </c>
      <c r="U47" s="14" t="n">
        <v>1</v>
      </c>
      <c r="V47" s="15" t="s">
        <v>39</v>
      </c>
    </row>
    <row r="48" customFormat="false" ht="29.85" hidden="false" customHeight="false" outlineLevel="0" collapsed="false">
      <c r="A48" s="6" t="n">
        <v>47</v>
      </c>
      <c r="B48" s="6" t="s">
        <v>187</v>
      </c>
      <c r="C48" s="7" t="s">
        <v>134</v>
      </c>
      <c r="D48" s="8" t="s">
        <v>188</v>
      </c>
      <c r="E48" s="6" t="s">
        <v>57</v>
      </c>
      <c r="F48" s="6" t="s">
        <v>57</v>
      </c>
      <c r="G48" s="9" t="n">
        <v>0</v>
      </c>
      <c r="H48" s="8" t="s">
        <v>189</v>
      </c>
      <c r="I48" s="11" t="n">
        <v>0</v>
      </c>
      <c r="J48" s="11" t="n">
        <v>0</v>
      </c>
      <c r="K48" s="11" t="n">
        <v>1</v>
      </c>
      <c r="L48" s="11" t="n">
        <v>1</v>
      </c>
      <c r="M48" s="11" t="n">
        <v>1</v>
      </c>
      <c r="N48" s="11" t="n">
        <v>1</v>
      </c>
      <c r="O48" s="11" t="n">
        <v>1</v>
      </c>
      <c r="P48" s="11" t="n">
        <v>0.77218</v>
      </c>
      <c r="Q48" s="6" t="n">
        <v>2</v>
      </c>
      <c r="R48" s="6" t="n">
        <v>186</v>
      </c>
      <c r="S48" s="12" t="n">
        <v>0.00045</v>
      </c>
      <c r="T48" s="13" t="n">
        <v>0.01457</v>
      </c>
      <c r="U48" s="6" t="n">
        <v>1</v>
      </c>
      <c r="V48" s="7" t="s">
        <v>39</v>
      </c>
    </row>
    <row r="49" customFormat="false" ht="29.85" hidden="false" customHeight="false" outlineLevel="0" collapsed="false">
      <c r="A49" s="14" t="n">
        <v>48</v>
      </c>
      <c r="B49" s="14" t="s">
        <v>190</v>
      </c>
      <c r="C49" s="15" t="s">
        <v>134</v>
      </c>
      <c r="D49" s="18" t="s">
        <v>191</v>
      </c>
      <c r="E49" s="14" t="s">
        <v>57</v>
      </c>
      <c r="F49" s="14" t="s">
        <v>57</v>
      </c>
      <c r="G49" s="17" t="n">
        <v>0</v>
      </c>
      <c r="H49" s="18" t="s">
        <v>192</v>
      </c>
      <c r="I49" s="19" t="n">
        <v>0</v>
      </c>
      <c r="J49" s="19" t="n">
        <v>1</v>
      </c>
      <c r="K49" s="19" t="n">
        <v>1</v>
      </c>
      <c r="L49" s="19" t="n">
        <v>1</v>
      </c>
      <c r="M49" s="19" t="n">
        <v>1</v>
      </c>
      <c r="N49" s="19" t="n">
        <v>1</v>
      </c>
      <c r="O49" s="19" t="n">
        <v>1</v>
      </c>
      <c r="P49" s="19" t="n">
        <v>0.96582</v>
      </c>
      <c r="Q49" s="14" t="n">
        <v>2</v>
      </c>
      <c r="R49" s="14" t="n">
        <v>265</v>
      </c>
      <c r="S49" s="20" t="n">
        <v>0</v>
      </c>
      <c r="T49" s="21" t="n">
        <v>0</v>
      </c>
      <c r="U49" s="14" t="n">
        <v>0</v>
      </c>
      <c r="V49" s="15" t="s">
        <v>50</v>
      </c>
    </row>
    <row r="50" customFormat="false" ht="29.85" hidden="false" customHeight="false" outlineLevel="0" collapsed="false">
      <c r="A50" s="6" t="n">
        <v>49</v>
      </c>
      <c r="B50" s="6" t="s">
        <v>193</v>
      </c>
      <c r="C50" s="7" t="s">
        <v>134</v>
      </c>
      <c r="D50" s="8" t="s">
        <v>194</v>
      </c>
      <c r="E50" s="6" t="s">
        <v>57</v>
      </c>
      <c r="F50" s="6" t="s">
        <v>57</v>
      </c>
      <c r="G50" s="9" t="n">
        <v>0</v>
      </c>
      <c r="H50" s="8" t="s">
        <v>195</v>
      </c>
      <c r="I50" s="11" t="n">
        <v>0</v>
      </c>
      <c r="J50" s="11" t="n">
        <v>0</v>
      </c>
      <c r="K50" s="11" t="n">
        <v>1</v>
      </c>
      <c r="L50" s="11" t="n">
        <v>1</v>
      </c>
      <c r="M50" s="11" t="n">
        <v>1</v>
      </c>
      <c r="N50" s="11" t="n">
        <v>1</v>
      </c>
      <c r="O50" s="11" t="n">
        <v>1</v>
      </c>
      <c r="P50" s="11" t="n">
        <v>0.81518</v>
      </c>
      <c r="Q50" s="6" t="n">
        <v>2</v>
      </c>
      <c r="R50" s="6" t="n">
        <v>259</v>
      </c>
      <c r="S50" s="12" t="n">
        <v>0</v>
      </c>
      <c r="T50" s="13" t="n">
        <v>0</v>
      </c>
      <c r="U50" s="6" t="n">
        <v>0</v>
      </c>
      <c r="V50" s="7" t="s">
        <v>50</v>
      </c>
    </row>
    <row r="51" customFormat="false" ht="29.85" hidden="false" customHeight="false" outlineLevel="0" collapsed="false">
      <c r="A51" s="14" t="n">
        <v>50</v>
      </c>
      <c r="B51" s="14" t="s">
        <v>196</v>
      </c>
      <c r="C51" s="15" t="s">
        <v>134</v>
      </c>
      <c r="D51" s="18" t="s">
        <v>197</v>
      </c>
      <c r="E51" s="14" t="s">
        <v>57</v>
      </c>
      <c r="F51" s="14" t="s">
        <v>57</v>
      </c>
      <c r="G51" s="17" t="n">
        <v>0</v>
      </c>
      <c r="H51" s="18" t="s">
        <v>198</v>
      </c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1</v>
      </c>
      <c r="O51" s="19" t="n">
        <v>1</v>
      </c>
      <c r="P51" s="19" t="n">
        <v>0.11073</v>
      </c>
      <c r="Q51" s="14" t="n">
        <v>2</v>
      </c>
      <c r="R51" s="14" t="n">
        <v>80</v>
      </c>
      <c r="S51" s="20" t="n">
        <v>0.01063</v>
      </c>
      <c r="T51" s="21" t="n">
        <v>0.34643</v>
      </c>
      <c r="U51" s="14" t="n">
        <v>9</v>
      </c>
      <c r="V51" s="15" t="s">
        <v>39</v>
      </c>
    </row>
    <row r="52" customFormat="false" ht="29.85" hidden="false" customHeight="false" outlineLevel="0" collapsed="false">
      <c r="A52" s="6" t="n">
        <v>51</v>
      </c>
      <c r="B52" s="6" t="s">
        <v>199</v>
      </c>
      <c r="C52" s="7" t="s">
        <v>134</v>
      </c>
      <c r="D52" s="8" t="s">
        <v>200</v>
      </c>
      <c r="E52" s="6" t="s">
        <v>57</v>
      </c>
      <c r="F52" s="6" t="s">
        <v>57</v>
      </c>
      <c r="G52" s="9" t="n">
        <v>0</v>
      </c>
      <c r="H52" s="8" t="s">
        <v>201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1</v>
      </c>
      <c r="O52" s="11" t="n">
        <v>1</v>
      </c>
      <c r="P52" s="11" t="n">
        <v>0.15464</v>
      </c>
      <c r="Q52" s="6" t="n">
        <v>2</v>
      </c>
      <c r="R52" s="6" t="n">
        <v>260</v>
      </c>
      <c r="S52" s="12" t="n">
        <v>0</v>
      </c>
      <c r="T52" s="13" t="n">
        <v>0</v>
      </c>
      <c r="U52" s="6" t="n">
        <v>0</v>
      </c>
      <c r="V52" s="7" t="s">
        <v>50</v>
      </c>
    </row>
    <row r="53" customFormat="false" ht="29.85" hidden="false" customHeight="false" outlineLevel="0" collapsed="false">
      <c r="A53" s="14" t="n">
        <v>52</v>
      </c>
      <c r="B53" s="14" t="s">
        <v>202</v>
      </c>
      <c r="C53" s="15" t="s">
        <v>134</v>
      </c>
      <c r="D53" s="18" t="s">
        <v>203</v>
      </c>
      <c r="E53" s="14" t="s">
        <v>57</v>
      </c>
      <c r="F53" s="14" t="s">
        <v>57</v>
      </c>
      <c r="G53" s="17" t="n">
        <v>0</v>
      </c>
      <c r="H53" s="18" t="s">
        <v>204</v>
      </c>
      <c r="I53" s="19" t="n">
        <v>0</v>
      </c>
      <c r="J53" s="19" t="n">
        <v>0</v>
      </c>
      <c r="K53" s="19" t="n">
        <v>0</v>
      </c>
      <c r="L53" s="19" t="n">
        <v>0</v>
      </c>
      <c r="M53" s="19" t="n">
        <v>0</v>
      </c>
      <c r="N53" s="19" t="n">
        <v>1</v>
      </c>
      <c r="O53" s="19" t="n">
        <v>1</v>
      </c>
      <c r="P53" s="19" t="n">
        <v>0.145</v>
      </c>
      <c r="Q53" s="14" t="n">
        <v>2</v>
      </c>
      <c r="R53" s="14" t="n">
        <v>166</v>
      </c>
      <c r="S53" s="20" t="n">
        <v>0.00076</v>
      </c>
      <c r="T53" s="21" t="n">
        <v>0.02464</v>
      </c>
      <c r="U53" s="14" t="n">
        <v>1</v>
      </c>
      <c r="V53" s="15" t="s">
        <v>39</v>
      </c>
    </row>
    <row r="54" customFormat="false" ht="29.85" hidden="false" customHeight="false" outlineLevel="0" collapsed="false">
      <c r="A54" s="6" t="n">
        <v>53</v>
      </c>
      <c r="B54" s="6" t="s">
        <v>205</v>
      </c>
      <c r="C54" s="7" t="s">
        <v>134</v>
      </c>
      <c r="D54" s="8" t="s">
        <v>206</v>
      </c>
      <c r="E54" s="6" t="s">
        <v>57</v>
      </c>
      <c r="F54" s="6" t="s">
        <v>57</v>
      </c>
      <c r="G54" s="9" t="n">
        <v>0</v>
      </c>
      <c r="H54" s="8" t="s">
        <v>165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1</v>
      </c>
      <c r="P54" s="11" t="n">
        <v>0.02936</v>
      </c>
      <c r="Q54" s="6" t="n">
        <v>2</v>
      </c>
      <c r="R54" s="6" t="n">
        <v>261</v>
      </c>
      <c r="S54" s="12" t="n">
        <v>0</v>
      </c>
      <c r="T54" s="13" t="n">
        <v>0</v>
      </c>
      <c r="U54" s="6" t="n">
        <v>0</v>
      </c>
      <c r="V54" s="7" t="s">
        <v>50</v>
      </c>
    </row>
    <row r="55" customFormat="false" ht="29.85" hidden="false" customHeight="false" outlineLevel="0" collapsed="false">
      <c r="A55" s="14" t="n">
        <v>54</v>
      </c>
      <c r="B55" s="14" t="s">
        <v>207</v>
      </c>
      <c r="C55" s="15" t="s">
        <v>134</v>
      </c>
      <c r="D55" s="18" t="s">
        <v>208</v>
      </c>
      <c r="E55" s="14" t="s">
        <v>57</v>
      </c>
      <c r="F55" s="14" t="s">
        <v>57</v>
      </c>
      <c r="G55" s="17" t="n">
        <v>0</v>
      </c>
      <c r="H55" s="18" t="s">
        <v>209</v>
      </c>
      <c r="I55" s="19" t="n">
        <v>0</v>
      </c>
      <c r="J55" s="19" t="n">
        <v>1</v>
      </c>
      <c r="K55" s="19" t="n">
        <v>1</v>
      </c>
      <c r="L55" s="19" t="n">
        <v>1</v>
      </c>
      <c r="M55" s="19" t="n">
        <v>1</v>
      </c>
      <c r="N55" s="19" t="n">
        <v>1</v>
      </c>
      <c r="O55" s="19" t="n">
        <v>1</v>
      </c>
      <c r="P55" s="19" t="n">
        <v>0.97909</v>
      </c>
      <c r="Q55" s="14" t="n">
        <v>2</v>
      </c>
      <c r="R55" s="14" t="n">
        <v>262</v>
      </c>
      <c r="S55" s="20" t="n">
        <v>0</v>
      </c>
      <c r="T55" s="21" t="n">
        <v>0</v>
      </c>
      <c r="U55" s="14" t="n">
        <v>0</v>
      </c>
      <c r="V55" s="15" t="s">
        <v>50</v>
      </c>
    </row>
    <row r="56" customFormat="false" ht="29.85" hidden="false" customHeight="false" outlineLevel="0" collapsed="false">
      <c r="A56" s="6" t="n">
        <v>55</v>
      </c>
      <c r="B56" s="6" t="s">
        <v>210</v>
      </c>
      <c r="C56" s="7" t="s">
        <v>134</v>
      </c>
      <c r="D56" s="8" t="s">
        <v>211</v>
      </c>
      <c r="E56" s="6" t="s">
        <v>57</v>
      </c>
      <c r="F56" s="6" t="s">
        <v>57</v>
      </c>
      <c r="G56" s="9" t="n">
        <v>0</v>
      </c>
      <c r="H56" s="8" t="s">
        <v>212</v>
      </c>
      <c r="I56" s="11" t="n">
        <v>0</v>
      </c>
      <c r="J56" s="11" t="n">
        <v>1</v>
      </c>
      <c r="K56" s="11" t="n">
        <v>1</v>
      </c>
      <c r="L56" s="11" t="n">
        <v>1</v>
      </c>
      <c r="M56" s="11" t="n">
        <v>1</v>
      </c>
      <c r="N56" s="11" t="n">
        <v>1</v>
      </c>
      <c r="O56" s="11" t="n">
        <v>1</v>
      </c>
      <c r="P56" s="11" t="n">
        <v>0.974</v>
      </c>
      <c r="Q56" s="6" t="n">
        <v>2</v>
      </c>
      <c r="R56" s="6" t="n">
        <v>263</v>
      </c>
      <c r="S56" s="12" t="n">
        <v>0</v>
      </c>
      <c r="T56" s="13" t="n">
        <v>0</v>
      </c>
      <c r="U56" s="6" t="n">
        <v>0</v>
      </c>
      <c r="V56" s="7" t="s">
        <v>50</v>
      </c>
    </row>
    <row r="57" customFormat="false" ht="29.85" hidden="false" customHeight="false" outlineLevel="0" collapsed="false">
      <c r="A57" s="14" t="n">
        <v>56</v>
      </c>
      <c r="B57" s="14" t="s">
        <v>213</v>
      </c>
      <c r="C57" s="15" t="s">
        <v>134</v>
      </c>
      <c r="D57" s="18" t="s">
        <v>214</v>
      </c>
      <c r="E57" s="14" t="s">
        <v>57</v>
      </c>
      <c r="F57" s="14" t="s">
        <v>57</v>
      </c>
      <c r="G57" s="17" t="n">
        <v>0</v>
      </c>
      <c r="H57" s="18" t="s">
        <v>215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1</v>
      </c>
      <c r="P57" s="19" t="n">
        <v>0.03091</v>
      </c>
      <c r="Q57" s="14" t="n">
        <v>2</v>
      </c>
      <c r="R57" s="14" t="n">
        <v>264</v>
      </c>
      <c r="S57" s="20" t="n">
        <v>0</v>
      </c>
      <c r="T57" s="21" t="n">
        <v>0</v>
      </c>
      <c r="U57" s="14" t="n">
        <v>0</v>
      </c>
      <c r="V57" s="15" t="s">
        <v>50</v>
      </c>
    </row>
    <row r="58" customFormat="false" ht="29.85" hidden="false" customHeight="false" outlineLevel="0" collapsed="false">
      <c r="A58" s="6" t="n">
        <v>57</v>
      </c>
      <c r="B58" s="6" t="s">
        <v>216</v>
      </c>
      <c r="C58" s="7" t="s">
        <v>134</v>
      </c>
      <c r="D58" s="8" t="s">
        <v>217</v>
      </c>
      <c r="E58" s="6" t="s">
        <v>57</v>
      </c>
      <c r="F58" s="6" t="s">
        <v>57</v>
      </c>
      <c r="G58" s="9" t="n">
        <v>0</v>
      </c>
      <c r="H58" s="8" t="s">
        <v>218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1</v>
      </c>
      <c r="N58" s="11" t="n">
        <v>1</v>
      </c>
      <c r="O58" s="11" t="n">
        <v>1</v>
      </c>
      <c r="P58" s="11" t="n">
        <v>0.25464</v>
      </c>
      <c r="Q58" s="6" t="n">
        <v>2</v>
      </c>
      <c r="R58" s="6" t="n">
        <v>257</v>
      </c>
      <c r="S58" s="12" t="n">
        <v>0</v>
      </c>
      <c r="T58" s="13" t="n">
        <v>0</v>
      </c>
      <c r="U58" s="6" t="n">
        <v>0</v>
      </c>
      <c r="V58" s="7" t="s">
        <v>50</v>
      </c>
    </row>
    <row r="59" customFormat="false" ht="29.85" hidden="false" customHeight="false" outlineLevel="0" collapsed="false">
      <c r="A59" s="14" t="n">
        <v>58</v>
      </c>
      <c r="B59" s="14" t="s">
        <v>219</v>
      </c>
      <c r="C59" s="15" t="s">
        <v>134</v>
      </c>
      <c r="D59" s="18" t="s">
        <v>220</v>
      </c>
      <c r="E59" s="14" t="s">
        <v>57</v>
      </c>
      <c r="F59" s="14" t="s">
        <v>57</v>
      </c>
      <c r="G59" s="17" t="n">
        <v>0</v>
      </c>
      <c r="H59" s="18" t="s">
        <v>221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1</v>
      </c>
      <c r="N59" s="19" t="n">
        <v>1</v>
      </c>
      <c r="O59" s="19" t="n">
        <v>1</v>
      </c>
      <c r="P59" s="19" t="n">
        <v>0.35555</v>
      </c>
      <c r="Q59" s="14" t="n">
        <v>2</v>
      </c>
      <c r="R59" s="14" t="n">
        <v>157</v>
      </c>
      <c r="S59" s="20" t="n">
        <v>0.00148</v>
      </c>
      <c r="T59" s="21" t="n">
        <v>0.04815</v>
      </c>
      <c r="U59" s="14" t="n">
        <v>1</v>
      </c>
      <c r="V59" s="15" t="s">
        <v>39</v>
      </c>
    </row>
    <row r="60" customFormat="false" ht="29.85" hidden="false" customHeight="false" outlineLevel="0" collapsed="false">
      <c r="A60" s="6" t="n">
        <v>59</v>
      </c>
      <c r="B60" s="6" t="s">
        <v>222</v>
      </c>
      <c r="C60" s="7" t="s">
        <v>134</v>
      </c>
      <c r="D60" s="8" t="s">
        <v>223</v>
      </c>
      <c r="E60" s="6" t="s">
        <v>57</v>
      </c>
      <c r="F60" s="6" t="s">
        <v>57</v>
      </c>
      <c r="G60" s="9" t="n">
        <v>0</v>
      </c>
      <c r="H60" s="8" t="s">
        <v>224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1</v>
      </c>
      <c r="O60" s="11" t="n">
        <v>1</v>
      </c>
      <c r="P60" s="11" t="n">
        <v>0.113</v>
      </c>
      <c r="Q60" s="6" t="n">
        <v>2</v>
      </c>
      <c r="R60" s="6" t="n">
        <v>179</v>
      </c>
      <c r="S60" s="12" t="n">
        <v>0.00056</v>
      </c>
      <c r="T60" s="13" t="n">
        <v>0.01839</v>
      </c>
      <c r="U60" s="6" t="n">
        <v>1</v>
      </c>
      <c r="V60" s="7" t="s">
        <v>39</v>
      </c>
    </row>
    <row r="61" customFormat="false" ht="29.85" hidden="false" customHeight="false" outlineLevel="0" collapsed="false">
      <c r="A61" s="14" t="n">
        <v>60</v>
      </c>
      <c r="B61" s="14" t="s">
        <v>225</v>
      </c>
      <c r="C61" s="15" t="s">
        <v>134</v>
      </c>
      <c r="D61" s="18" t="s">
        <v>226</v>
      </c>
      <c r="E61" s="14" t="s">
        <v>57</v>
      </c>
      <c r="F61" s="14" t="s">
        <v>57</v>
      </c>
      <c r="G61" s="17" t="n">
        <v>0</v>
      </c>
      <c r="H61" s="18" t="s">
        <v>227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9" t="n">
        <v>1</v>
      </c>
      <c r="P61" s="19" t="n">
        <v>0.02382</v>
      </c>
      <c r="Q61" s="14" t="n">
        <v>2</v>
      </c>
      <c r="R61" s="14" t="n">
        <v>258</v>
      </c>
      <c r="S61" s="20" t="n">
        <v>0</v>
      </c>
      <c r="T61" s="21" t="n">
        <v>0</v>
      </c>
      <c r="U61" s="14" t="n">
        <v>0</v>
      </c>
      <c r="V61" s="15" t="s">
        <v>50</v>
      </c>
    </row>
    <row r="62" customFormat="false" ht="29.85" hidden="false" customHeight="false" outlineLevel="0" collapsed="false">
      <c r="A62" s="6" t="n">
        <v>61</v>
      </c>
      <c r="B62" s="6" t="s">
        <v>228</v>
      </c>
      <c r="C62" s="7" t="s">
        <v>134</v>
      </c>
      <c r="D62" s="8" t="s">
        <v>229</v>
      </c>
      <c r="E62" s="6" t="s">
        <v>57</v>
      </c>
      <c r="F62" s="6" t="s">
        <v>57</v>
      </c>
      <c r="G62" s="9" t="n">
        <v>0</v>
      </c>
      <c r="H62" s="8" t="s">
        <v>230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1</v>
      </c>
      <c r="P62" s="11" t="n">
        <v>0.01555</v>
      </c>
      <c r="Q62" s="6" t="n">
        <v>2</v>
      </c>
      <c r="R62" s="6" t="n">
        <v>270</v>
      </c>
      <c r="S62" s="12" t="n">
        <v>0</v>
      </c>
      <c r="T62" s="13" t="n">
        <v>0</v>
      </c>
      <c r="U62" s="6" t="n">
        <v>0</v>
      </c>
      <c r="V62" s="7" t="s">
        <v>50</v>
      </c>
    </row>
    <row r="63" customFormat="false" ht="29.85" hidden="false" customHeight="false" outlineLevel="0" collapsed="false">
      <c r="A63" s="14" t="n">
        <v>62</v>
      </c>
      <c r="B63" s="14" t="s">
        <v>231</v>
      </c>
      <c r="C63" s="15" t="s">
        <v>134</v>
      </c>
      <c r="D63" s="18" t="s">
        <v>232</v>
      </c>
      <c r="E63" s="14" t="s">
        <v>57</v>
      </c>
      <c r="F63" s="14" t="s">
        <v>57</v>
      </c>
      <c r="G63" s="17" t="n">
        <v>0</v>
      </c>
      <c r="H63" s="18" t="s">
        <v>122</v>
      </c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1</v>
      </c>
      <c r="N63" s="19" t="n">
        <v>1</v>
      </c>
      <c r="O63" s="19" t="n">
        <v>1</v>
      </c>
      <c r="P63" s="19" t="n">
        <v>0.30636</v>
      </c>
      <c r="Q63" s="14" t="n">
        <v>2</v>
      </c>
      <c r="R63" s="14" t="n">
        <v>160</v>
      </c>
      <c r="S63" s="20" t="n">
        <v>0.00115</v>
      </c>
      <c r="T63" s="21" t="n">
        <v>0.03741</v>
      </c>
      <c r="U63" s="14" t="n">
        <v>2</v>
      </c>
      <c r="V63" s="15" t="s">
        <v>39</v>
      </c>
    </row>
    <row r="64" customFormat="false" ht="29.85" hidden="false" customHeight="false" outlineLevel="0" collapsed="false">
      <c r="A64" s="6" t="n">
        <v>63</v>
      </c>
      <c r="B64" s="6" t="s">
        <v>233</v>
      </c>
      <c r="C64" s="7" t="s">
        <v>134</v>
      </c>
      <c r="D64" s="8" t="s">
        <v>234</v>
      </c>
      <c r="E64" s="6" t="s">
        <v>57</v>
      </c>
      <c r="F64" s="6" t="s">
        <v>57</v>
      </c>
      <c r="G64" s="9" t="n">
        <v>0</v>
      </c>
      <c r="H64" s="8" t="s">
        <v>235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1</v>
      </c>
      <c r="P64" s="11" t="n">
        <v>0.02764</v>
      </c>
      <c r="Q64" s="6" t="n">
        <v>2</v>
      </c>
      <c r="R64" s="6" t="n">
        <v>271</v>
      </c>
      <c r="S64" s="12" t="n">
        <v>0</v>
      </c>
      <c r="T64" s="13" t="n">
        <v>0</v>
      </c>
      <c r="U64" s="6" t="n">
        <v>0</v>
      </c>
      <c r="V64" s="7" t="s">
        <v>50</v>
      </c>
    </row>
    <row r="65" customFormat="false" ht="29.85" hidden="false" customHeight="false" outlineLevel="0" collapsed="false">
      <c r="A65" s="14" t="n">
        <v>64</v>
      </c>
      <c r="B65" s="14" t="s">
        <v>236</v>
      </c>
      <c r="C65" s="15" t="s">
        <v>134</v>
      </c>
      <c r="D65" s="18" t="s">
        <v>237</v>
      </c>
      <c r="E65" s="14" t="s">
        <v>57</v>
      </c>
      <c r="F65" s="14" t="s">
        <v>57</v>
      </c>
      <c r="G65" s="17" t="n">
        <v>0</v>
      </c>
      <c r="H65" s="18" t="s">
        <v>183</v>
      </c>
      <c r="I65" s="19" t="n">
        <v>0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  <c r="O65" s="19" t="n">
        <v>1</v>
      </c>
      <c r="P65" s="19" t="n">
        <v>0.01218</v>
      </c>
      <c r="Q65" s="14" t="n">
        <v>2</v>
      </c>
      <c r="R65" s="14" t="n">
        <v>272</v>
      </c>
      <c r="S65" s="20" t="n">
        <v>0</v>
      </c>
      <c r="T65" s="21" t="n">
        <v>0</v>
      </c>
      <c r="U65" s="14" t="n">
        <v>0</v>
      </c>
      <c r="V65" s="15" t="s">
        <v>50</v>
      </c>
    </row>
    <row r="66" customFormat="false" ht="29.85" hidden="false" customHeight="false" outlineLevel="0" collapsed="false">
      <c r="A66" s="6" t="n">
        <v>65</v>
      </c>
      <c r="B66" s="6" t="s">
        <v>238</v>
      </c>
      <c r="C66" s="7" t="s">
        <v>134</v>
      </c>
      <c r="D66" s="8" t="s">
        <v>239</v>
      </c>
      <c r="E66" s="6" t="s">
        <v>57</v>
      </c>
      <c r="F66" s="6" t="s">
        <v>57</v>
      </c>
      <c r="G66" s="9" t="n">
        <v>0</v>
      </c>
      <c r="H66" s="8" t="s">
        <v>122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1</v>
      </c>
      <c r="N66" s="11" t="n">
        <v>1</v>
      </c>
      <c r="O66" s="11" t="n">
        <v>1</v>
      </c>
      <c r="P66" s="11" t="n">
        <v>0.30609</v>
      </c>
      <c r="Q66" s="6" t="n">
        <v>2</v>
      </c>
      <c r="R66" s="6" t="n">
        <v>70</v>
      </c>
      <c r="S66" s="12" t="n">
        <v>0.01201</v>
      </c>
      <c r="T66" s="13" t="n">
        <v>0.39136</v>
      </c>
      <c r="U66" s="6" t="n">
        <v>3</v>
      </c>
      <c r="V66" s="7" t="s">
        <v>39</v>
      </c>
    </row>
    <row r="67" customFormat="false" ht="29.85" hidden="false" customHeight="false" outlineLevel="0" collapsed="false">
      <c r="A67" s="14" t="n">
        <v>66</v>
      </c>
      <c r="B67" s="14" t="s">
        <v>240</v>
      </c>
      <c r="C67" s="15" t="s">
        <v>134</v>
      </c>
      <c r="D67" s="18" t="s">
        <v>241</v>
      </c>
      <c r="E67" s="14" t="s">
        <v>57</v>
      </c>
      <c r="F67" s="14" t="s">
        <v>57</v>
      </c>
      <c r="G67" s="17" t="n">
        <v>0</v>
      </c>
      <c r="H67" s="18" t="s">
        <v>242</v>
      </c>
      <c r="I67" s="19" t="n">
        <v>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  <c r="O67" s="19" t="n">
        <v>1</v>
      </c>
      <c r="P67" s="19" t="n">
        <v>0.02191</v>
      </c>
      <c r="Q67" s="14" t="n">
        <v>2</v>
      </c>
      <c r="R67" s="14" t="n">
        <v>269</v>
      </c>
      <c r="S67" s="20" t="n">
        <v>0</v>
      </c>
      <c r="T67" s="21" t="n">
        <v>0</v>
      </c>
      <c r="U67" s="14" t="n">
        <v>0</v>
      </c>
      <c r="V67" s="15" t="s">
        <v>50</v>
      </c>
    </row>
    <row r="68" customFormat="false" ht="29.85" hidden="false" customHeight="false" outlineLevel="0" collapsed="false">
      <c r="A68" s="6" t="n">
        <v>67</v>
      </c>
      <c r="B68" s="6" t="s">
        <v>243</v>
      </c>
      <c r="C68" s="7" t="s">
        <v>134</v>
      </c>
      <c r="D68" s="8" t="s">
        <v>244</v>
      </c>
      <c r="E68" s="6" t="s">
        <v>57</v>
      </c>
      <c r="F68" s="6" t="s">
        <v>57</v>
      </c>
      <c r="G68" s="9" t="n">
        <v>0</v>
      </c>
      <c r="H68" s="8" t="s">
        <v>245</v>
      </c>
      <c r="I68" s="11" t="n">
        <v>0</v>
      </c>
      <c r="J68" s="11" t="n">
        <v>0</v>
      </c>
      <c r="K68" s="11" t="n">
        <v>0</v>
      </c>
      <c r="L68" s="11" t="n">
        <v>1</v>
      </c>
      <c r="M68" s="11" t="n">
        <v>1</v>
      </c>
      <c r="N68" s="11" t="n">
        <v>1</v>
      </c>
      <c r="O68" s="11" t="n">
        <v>1</v>
      </c>
      <c r="P68" s="11" t="n">
        <v>0.51309</v>
      </c>
      <c r="Q68" s="6" t="n">
        <v>2</v>
      </c>
      <c r="R68" s="6" t="n">
        <v>143</v>
      </c>
      <c r="S68" s="12" t="n">
        <v>0.00229</v>
      </c>
      <c r="T68" s="13" t="n">
        <v>0.07473</v>
      </c>
      <c r="U68" s="6" t="n">
        <v>2</v>
      </c>
      <c r="V68" s="7" t="s">
        <v>39</v>
      </c>
    </row>
    <row r="69" customFormat="false" ht="29.85" hidden="false" customHeight="false" outlineLevel="0" collapsed="false">
      <c r="A69" s="14" t="n">
        <v>68</v>
      </c>
      <c r="B69" s="14" t="s">
        <v>246</v>
      </c>
      <c r="C69" s="15" t="s">
        <v>134</v>
      </c>
      <c r="D69" s="18" t="s">
        <v>247</v>
      </c>
      <c r="E69" s="14" t="s">
        <v>57</v>
      </c>
      <c r="F69" s="14" t="s">
        <v>57</v>
      </c>
      <c r="G69" s="17" t="n">
        <v>0</v>
      </c>
      <c r="H69" s="18" t="s">
        <v>248</v>
      </c>
      <c r="I69" s="19" t="n">
        <v>0</v>
      </c>
      <c r="J69" s="19" t="n">
        <v>0</v>
      </c>
      <c r="K69" s="19" t="n">
        <v>0</v>
      </c>
      <c r="L69" s="19" t="n">
        <v>1</v>
      </c>
      <c r="M69" s="19" t="n">
        <v>1</v>
      </c>
      <c r="N69" s="19" t="n">
        <v>1</v>
      </c>
      <c r="O69" s="19" t="n">
        <v>1</v>
      </c>
      <c r="P69" s="19" t="n">
        <v>0.69618</v>
      </c>
      <c r="Q69" s="14" t="n">
        <v>2</v>
      </c>
      <c r="R69" s="14" t="n">
        <v>268</v>
      </c>
      <c r="S69" s="20" t="n">
        <v>0</v>
      </c>
      <c r="T69" s="21" t="n">
        <v>0</v>
      </c>
      <c r="U69" s="14" t="n">
        <v>0</v>
      </c>
      <c r="V69" s="15" t="s">
        <v>50</v>
      </c>
    </row>
    <row r="70" customFormat="false" ht="29.85" hidden="false" customHeight="false" outlineLevel="0" collapsed="false">
      <c r="A70" s="6" t="n">
        <v>69</v>
      </c>
      <c r="B70" s="6" t="s">
        <v>249</v>
      </c>
      <c r="C70" s="7" t="s">
        <v>134</v>
      </c>
      <c r="D70" s="8" t="s">
        <v>250</v>
      </c>
      <c r="E70" s="6" t="s">
        <v>57</v>
      </c>
      <c r="F70" s="6" t="s">
        <v>57</v>
      </c>
      <c r="G70" s="9" t="n">
        <v>0</v>
      </c>
      <c r="H70" s="8" t="s">
        <v>251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1</v>
      </c>
      <c r="N70" s="11" t="n">
        <v>1</v>
      </c>
      <c r="O70" s="11" t="n">
        <v>1</v>
      </c>
      <c r="P70" s="11" t="n">
        <v>0.445</v>
      </c>
      <c r="Q70" s="6" t="n">
        <v>2</v>
      </c>
      <c r="R70" s="6" t="n">
        <v>171</v>
      </c>
      <c r="S70" s="12" t="n">
        <v>0.00066</v>
      </c>
      <c r="T70" s="13" t="n">
        <v>0.02147</v>
      </c>
      <c r="U70" s="6" t="n">
        <v>1</v>
      </c>
      <c r="V70" s="7" t="s">
        <v>39</v>
      </c>
    </row>
    <row r="71" customFormat="false" ht="29.85" hidden="false" customHeight="false" outlineLevel="0" collapsed="false">
      <c r="A71" s="14" t="n">
        <v>70</v>
      </c>
      <c r="B71" s="14" t="s">
        <v>252</v>
      </c>
      <c r="C71" s="15" t="s">
        <v>134</v>
      </c>
      <c r="D71" s="18" t="s">
        <v>253</v>
      </c>
      <c r="E71" s="14" t="s">
        <v>57</v>
      </c>
      <c r="F71" s="14" t="s">
        <v>57</v>
      </c>
      <c r="G71" s="17" t="n">
        <v>0</v>
      </c>
      <c r="H71" s="18" t="s">
        <v>254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1</v>
      </c>
      <c r="N71" s="19" t="n">
        <v>1</v>
      </c>
      <c r="O71" s="19" t="n">
        <v>1</v>
      </c>
      <c r="P71" s="19" t="n">
        <v>0.31882</v>
      </c>
      <c r="Q71" s="14" t="n">
        <v>2</v>
      </c>
      <c r="R71" s="14" t="n">
        <v>267</v>
      </c>
      <c r="S71" s="20" t="n">
        <v>0</v>
      </c>
      <c r="T71" s="21" t="n">
        <v>0</v>
      </c>
      <c r="U71" s="14" t="n">
        <v>0</v>
      </c>
      <c r="V71" s="15" t="s">
        <v>50</v>
      </c>
    </row>
    <row r="72" customFormat="false" ht="29.85" hidden="false" customHeight="false" outlineLevel="0" collapsed="false">
      <c r="A72" s="6" t="n">
        <v>71</v>
      </c>
      <c r="B72" s="6" t="s">
        <v>255</v>
      </c>
      <c r="C72" s="7" t="s">
        <v>134</v>
      </c>
      <c r="D72" s="8" t="s">
        <v>256</v>
      </c>
      <c r="E72" s="6" t="s">
        <v>57</v>
      </c>
      <c r="F72" s="6" t="s">
        <v>57</v>
      </c>
      <c r="G72" s="9" t="n">
        <v>0</v>
      </c>
      <c r="H72" s="8" t="s">
        <v>257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1</v>
      </c>
      <c r="O72" s="11" t="n">
        <v>1</v>
      </c>
      <c r="P72" s="11" t="n">
        <v>0.21345</v>
      </c>
      <c r="Q72" s="6" t="n">
        <v>2</v>
      </c>
      <c r="R72" s="6" t="n">
        <v>144</v>
      </c>
      <c r="S72" s="12" t="n">
        <v>0.00221</v>
      </c>
      <c r="T72" s="13" t="n">
        <v>0.07193</v>
      </c>
      <c r="U72" s="6" t="n">
        <v>3</v>
      </c>
      <c r="V72" s="7" t="s">
        <v>39</v>
      </c>
    </row>
    <row r="73" customFormat="false" ht="29.85" hidden="false" customHeight="false" outlineLevel="0" collapsed="false">
      <c r="A73" s="14" t="n">
        <v>72</v>
      </c>
      <c r="B73" s="14" t="s">
        <v>258</v>
      </c>
      <c r="C73" s="15" t="s">
        <v>134</v>
      </c>
      <c r="D73" s="18" t="s">
        <v>259</v>
      </c>
      <c r="E73" s="14" t="s">
        <v>57</v>
      </c>
      <c r="F73" s="14" t="s">
        <v>57</v>
      </c>
      <c r="G73" s="17" t="n">
        <v>0</v>
      </c>
      <c r="H73" s="18" t="s">
        <v>260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1</v>
      </c>
      <c r="O73" s="19" t="n">
        <v>1</v>
      </c>
      <c r="P73" s="19" t="n">
        <v>0.062</v>
      </c>
      <c r="Q73" s="14" t="n">
        <v>2</v>
      </c>
      <c r="R73" s="14" t="n">
        <v>256</v>
      </c>
      <c r="S73" s="20" t="n">
        <v>0</v>
      </c>
      <c r="T73" s="21" t="n">
        <v>0</v>
      </c>
      <c r="U73" s="14" t="n">
        <v>0</v>
      </c>
      <c r="V73" s="15" t="s">
        <v>50</v>
      </c>
    </row>
    <row r="74" customFormat="false" ht="29.85" hidden="false" customHeight="false" outlineLevel="0" collapsed="false">
      <c r="A74" s="6" t="n">
        <v>73</v>
      </c>
      <c r="B74" s="6" t="s">
        <v>261</v>
      </c>
      <c r="C74" s="7" t="s">
        <v>134</v>
      </c>
      <c r="D74" s="8" t="s">
        <v>262</v>
      </c>
      <c r="E74" s="6" t="s">
        <v>57</v>
      </c>
      <c r="F74" s="6" t="s">
        <v>57</v>
      </c>
      <c r="G74" s="9" t="n">
        <v>0</v>
      </c>
      <c r="H74" s="8" t="s">
        <v>263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1</v>
      </c>
      <c r="O74" s="11" t="n">
        <v>1</v>
      </c>
      <c r="P74" s="11" t="n">
        <v>0.10218</v>
      </c>
      <c r="Q74" s="6" t="n">
        <v>2</v>
      </c>
      <c r="R74" s="6" t="n">
        <v>255</v>
      </c>
      <c r="S74" s="12" t="n">
        <v>0</v>
      </c>
      <c r="T74" s="13" t="n">
        <v>0</v>
      </c>
      <c r="U74" s="6" t="n">
        <v>0</v>
      </c>
      <c r="V74" s="7" t="s">
        <v>50</v>
      </c>
    </row>
    <row r="75" customFormat="false" ht="29.85" hidden="false" customHeight="false" outlineLevel="0" collapsed="false">
      <c r="A75" s="14" t="n">
        <v>74</v>
      </c>
      <c r="B75" s="14" t="s">
        <v>264</v>
      </c>
      <c r="C75" s="15" t="s">
        <v>134</v>
      </c>
      <c r="D75" s="18" t="s">
        <v>265</v>
      </c>
      <c r="E75" s="14" t="s">
        <v>57</v>
      </c>
      <c r="F75" s="14" t="s">
        <v>57</v>
      </c>
      <c r="G75" s="17" t="n">
        <v>0</v>
      </c>
      <c r="H75" s="18" t="s">
        <v>266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1</v>
      </c>
      <c r="O75" s="19" t="n">
        <v>1</v>
      </c>
      <c r="P75" s="19" t="n">
        <v>0.081</v>
      </c>
      <c r="Q75" s="14" t="n">
        <v>2</v>
      </c>
      <c r="R75" s="14" t="n">
        <v>273</v>
      </c>
      <c r="S75" s="20" t="n">
        <v>0</v>
      </c>
      <c r="T75" s="21" t="n">
        <v>0</v>
      </c>
      <c r="U75" s="14" t="n">
        <v>0</v>
      </c>
      <c r="V75" s="15" t="s">
        <v>50</v>
      </c>
    </row>
    <row r="76" customFormat="false" ht="29.85" hidden="false" customHeight="false" outlineLevel="0" collapsed="false">
      <c r="A76" s="6" t="n">
        <v>75</v>
      </c>
      <c r="B76" s="6" t="s">
        <v>267</v>
      </c>
      <c r="C76" s="7" t="s">
        <v>134</v>
      </c>
      <c r="D76" s="8" t="s">
        <v>268</v>
      </c>
      <c r="E76" s="6" t="s">
        <v>57</v>
      </c>
      <c r="F76" s="6" t="s">
        <v>57</v>
      </c>
      <c r="G76" s="9" t="n">
        <v>0</v>
      </c>
      <c r="H76" s="8" t="s">
        <v>269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1</v>
      </c>
      <c r="P76" s="11" t="n">
        <v>0.03836</v>
      </c>
      <c r="Q76" s="6" t="n">
        <v>2</v>
      </c>
      <c r="R76" s="6" t="n">
        <v>177</v>
      </c>
      <c r="S76" s="12" t="n">
        <v>0.00058</v>
      </c>
      <c r="T76" s="13" t="n">
        <v>0.01891</v>
      </c>
      <c r="U76" s="6" t="n">
        <v>1</v>
      </c>
      <c r="V76" s="7" t="s">
        <v>39</v>
      </c>
    </row>
    <row r="77" customFormat="false" ht="29.85" hidden="false" customHeight="false" outlineLevel="0" collapsed="false">
      <c r="A77" s="14" t="n">
        <v>76</v>
      </c>
      <c r="B77" s="14" t="s">
        <v>270</v>
      </c>
      <c r="C77" s="15" t="s">
        <v>134</v>
      </c>
      <c r="D77" s="18" t="s">
        <v>271</v>
      </c>
      <c r="E77" s="14" t="s">
        <v>57</v>
      </c>
      <c r="F77" s="14" t="s">
        <v>57</v>
      </c>
      <c r="G77" s="17" t="n">
        <v>0</v>
      </c>
      <c r="H77" s="18" t="s">
        <v>272</v>
      </c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1</v>
      </c>
      <c r="O77" s="19" t="n">
        <v>1</v>
      </c>
      <c r="P77" s="19" t="n">
        <v>0.09509</v>
      </c>
      <c r="Q77" s="14" t="n">
        <v>2</v>
      </c>
      <c r="R77" s="14" t="n">
        <v>275</v>
      </c>
      <c r="S77" s="20" t="n">
        <v>0</v>
      </c>
      <c r="T77" s="21" t="n">
        <v>0</v>
      </c>
      <c r="U77" s="14" t="n">
        <v>0</v>
      </c>
      <c r="V77" s="15" t="s">
        <v>50</v>
      </c>
    </row>
    <row r="78" customFormat="false" ht="29.85" hidden="false" customHeight="false" outlineLevel="0" collapsed="false">
      <c r="A78" s="6" t="n">
        <v>77</v>
      </c>
      <c r="B78" s="6" t="s">
        <v>273</v>
      </c>
      <c r="C78" s="7" t="s">
        <v>134</v>
      </c>
      <c r="D78" s="8" t="s">
        <v>274</v>
      </c>
      <c r="E78" s="6" t="s">
        <v>57</v>
      </c>
      <c r="F78" s="6" t="s">
        <v>57</v>
      </c>
      <c r="G78" s="9" t="n">
        <v>0</v>
      </c>
      <c r="H78" s="8" t="s">
        <v>275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1</v>
      </c>
      <c r="O78" s="11" t="n">
        <v>1</v>
      </c>
      <c r="P78" s="11" t="n">
        <v>0.08809</v>
      </c>
      <c r="Q78" s="6" t="n">
        <v>2</v>
      </c>
      <c r="R78" s="6" t="n">
        <v>274</v>
      </c>
      <c r="S78" s="12" t="n">
        <v>0</v>
      </c>
      <c r="T78" s="13" t="n">
        <v>0</v>
      </c>
      <c r="U78" s="6" t="n">
        <v>0</v>
      </c>
      <c r="V78" s="7" t="s">
        <v>50</v>
      </c>
    </row>
    <row r="79" customFormat="false" ht="29.85" hidden="false" customHeight="false" outlineLevel="0" collapsed="false">
      <c r="A79" s="14" t="n">
        <v>78</v>
      </c>
      <c r="B79" s="14" t="s">
        <v>276</v>
      </c>
      <c r="C79" s="15" t="s">
        <v>134</v>
      </c>
      <c r="D79" s="18" t="s">
        <v>277</v>
      </c>
      <c r="E79" s="14" t="s">
        <v>57</v>
      </c>
      <c r="F79" s="14" t="s">
        <v>57</v>
      </c>
      <c r="G79" s="17" t="n">
        <v>0</v>
      </c>
      <c r="H79" s="18" t="s">
        <v>104</v>
      </c>
      <c r="I79" s="19" t="n">
        <v>0</v>
      </c>
      <c r="J79" s="19" t="n">
        <v>0</v>
      </c>
      <c r="K79" s="19" t="n">
        <v>0</v>
      </c>
      <c r="L79" s="19" t="n">
        <v>0</v>
      </c>
      <c r="M79" s="19" t="n">
        <v>1</v>
      </c>
      <c r="N79" s="19" t="n">
        <v>1</v>
      </c>
      <c r="O79" s="19" t="n">
        <v>1</v>
      </c>
      <c r="P79" s="19" t="n">
        <v>0.36973</v>
      </c>
      <c r="Q79" s="14" t="n">
        <v>2</v>
      </c>
      <c r="R79" s="14" t="n">
        <v>73</v>
      </c>
      <c r="S79" s="20" t="n">
        <v>0.01168</v>
      </c>
      <c r="T79" s="21" t="n">
        <v>0.3807</v>
      </c>
      <c r="U79" s="14" t="n">
        <v>10</v>
      </c>
      <c r="V79" s="15" t="s">
        <v>39</v>
      </c>
    </row>
    <row r="80" customFormat="false" ht="29.85" hidden="false" customHeight="false" outlineLevel="0" collapsed="false">
      <c r="A80" s="6" t="n">
        <v>79</v>
      </c>
      <c r="B80" s="6" t="s">
        <v>278</v>
      </c>
      <c r="C80" s="7" t="s">
        <v>134</v>
      </c>
      <c r="D80" s="8" t="s">
        <v>279</v>
      </c>
      <c r="E80" s="6" t="s">
        <v>57</v>
      </c>
      <c r="F80" s="6" t="s">
        <v>57</v>
      </c>
      <c r="G80" s="9" t="n">
        <v>0</v>
      </c>
      <c r="H80" s="8" t="s">
        <v>280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1</v>
      </c>
      <c r="N80" s="11" t="n">
        <v>1</v>
      </c>
      <c r="O80" s="11" t="n">
        <v>1</v>
      </c>
      <c r="P80" s="11" t="n">
        <v>0.37518</v>
      </c>
      <c r="Q80" s="6" t="n">
        <v>2</v>
      </c>
      <c r="R80" s="6" t="n">
        <v>97</v>
      </c>
      <c r="S80" s="12" t="n">
        <v>0.00693</v>
      </c>
      <c r="T80" s="13" t="n">
        <v>0.22603</v>
      </c>
      <c r="U80" s="6" t="n">
        <v>4</v>
      </c>
      <c r="V80" s="7" t="s">
        <v>39</v>
      </c>
    </row>
    <row r="81" customFormat="false" ht="29.85" hidden="false" customHeight="false" outlineLevel="0" collapsed="false">
      <c r="A81" s="14" t="n">
        <v>80</v>
      </c>
      <c r="B81" s="14" t="s">
        <v>281</v>
      </c>
      <c r="C81" s="15" t="s">
        <v>134</v>
      </c>
      <c r="D81" s="18" t="s">
        <v>282</v>
      </c>
      <c r="E81" s="14" t="s">
        <v>57</v>
      </c>
      <c r="F81" s="14" t="s">
        <v>57</v>
      </c>
      <c r="G81" s="17" t="n">
        <v>0</v>
      </c>
      <c r="H81" s="18" t="s">
        <v>283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1</v>
      </c>
      <c r="P81" s="19" t="n">
        <v>0.02318</v>
      </c>
      <c r="Q81" s="14" t="n">
        <v>2</v>
      </c>
      <c r="R81" s="14" t="n">
        <v>128</v>
      </c>
      <c r="S81" s="20" t="n">
        <v>0.00373</v>
      </c>
      <c r="T81" s="21" t="n">
        <v>0.12146</v>
      </c>
      <c r="U81" s="14" t="n">
        <v>5</v>
      </c>
      <c r="V81" s="15" t="s">
        <v>39</v>
      </c>
    </row>
    <row r="82" customFormat="false" ht="29.85" hidden="false" customHeight="false" outlineLevel="0" collapsed="false">
      <c r="A82" s="6" t="n">
        <v>81</v>
      </c>
      <c r="B82" s="6" t="s">
        <v>284</v>
      </c>
      <c r="C82" s="7" t="s">
        <v>134</v>
      </c>
      <c r="D82" s="8" t="s">
        <v>285</v>
      </c>
      <c r="E82" s="6" t="s">
        <v>57</v>
      </c>
      <c r="F82" s="6" t="s">
        <v>57</v>
      </c>
      <c r="G82" s="9" t="n">
        <v>0</v>
      </c>
      <c r="H82" s="8" t="s">
        <v>286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1</v>
      </c>
      <c r="O82" s="11" t="n">
        <v>1</v>
      </c>
      <c r="P82" s="11" t="n">
        <v>0.13627</v>
      </c>
      <c r="Q82" s="6" t="n">
        <v>2</v>
      </c>
      <c r="R82" s="6" t="n">
        <v>95</v>
      </c>
      <c r="S82" s="12" t="n">
        <v>0.0074</v>
      </c>
      <c r="T82" s="13" t="n">
        <v>0.24129</v>
      </c>
      <c r="U82" s="6" t="n">
        <v>6</v>
      </c>
      <c r="V82" s="7" t="s">
        <v>39</v>
      </c>
    </row>
    <row r="83" customFormat="false" ht="29.85" hidden="false" customHeight="false" outlineLevel="0" collapsed="false">
      <c r="A83" s="14" t="n">
        <v>82</v>
      </c>
      <c r="B83" s="14" t="s">
        <v>287</v>
      </c>
      <c r="C83" s="15" t="s">
        <v>134</v>
      </c>
      <c r="D83" s="18" t="s">
        <v>288</v>
      </c>
      <c r="E83" s="14" t="s">
        <v>57</v>
      </c>
      <c r="F83" s="14" t="s">
        <v>57</v>
      </c>
      <c r="G83" s="17" t="n">
        <v>0</v>
      </c>
      <c r="H83" s="18" t="s">
        <v>289</v>
      </c>
      <c r="I83" s="19" t="n">
        <v>0</v>
      </c>
      <c r="J83" s="19" t="n">
        <v>0</v>
      </c>
      <c r="K83" s="19" t="n">
        <v>0</v>
      </c>
      <c r="L83" s="19" t="n">
        <v>0</v>
      </c>
      <c r="M83" s="19" t="n">
        <v>0</v>
      </c>
      <c r="N83" s="19" t="n">
        <v>0</v>
      </c>
      <c r="O83" s="19" t="n">
        <v>1</v>
      </c>
      <c r="P83" s="19" t="n">
        <v>0.01691</v>
      </c>
      <c r="Q83" s="14" t="n">
        <v>2</v>
      </c>
      <c r="R83" s="14" t="n">
        <v>247</v>
      </c>
      <c r="S83" s="20" t="n">
        <v>0</v>
      </c>
      <c r="T83" s="21" t="n">
        <v>0</v>
      </c>
      <c r="U83" s="14" t="n">
        <v>0</v>
      </c>
      <c r="V83" s="15" t="s">
        <v>50</v>
      </c>
    </row>
    <row r="84" customFormat="false" ht="29.85" hidden="false" customHeight="false" outlineLevel="0" collapsed="false">
      <c r="A84" s="6" t="n">
        <v>83</v>
      </c>
      <c r="B84" s="6" t="s">
        <v>290</v>
      </c>
      <c r="C84" s="7" t="s">
        <v>134</v>
      </c>
      <c r="D84" s="8" t="s">
        <v>291</v>
      </c>
      <c r="E84" s="6" t="s">
        <v>57</v>
      </c>
      <c r="F84" s="6" t="s">
        <v>57</v>
      </c>
      <c r="G84" s="9" t="n">
        <v>0</v>
      </c>
      <c r="H84" s="8" t="s">
        <v>283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1</v>
      </c>
      <c r="P84" s="11" t="n">
        <v>0.02273</v>
      </c>
      <c r="Q84" s="6" t="n">
        <v>2</v>
      </c>
      <c r="R84" s="6" t="n">
        <v>233</v>
      </c>
      <c r="S84" s="12" t="n">
        <v>0</v>
      </c>
      <c r="T84" s="13" t="n">
        <v>0</v>
      </c>
      <c r="U84" s="6" t="n">
        <v>0</v>
      </c>
      <c r="V84" s="7" t="s">
        <v>50</v>
      </c>
    </row>
    <row r="85" customFormat="false" ht="29.85" hidden="false" customHeight="false" outlineLevel="0" collapsed="false">
      <c r="A85" s="14" t="n">
        <v>84</v>
      </c>
      <c r="B85" s="14" t="s">
        <v>292</v>
      </c>
      <c r="C85" s="15" t="s">
        <v>134</v>
      </c>
      <c r="D85" s="18" t="s">
        <v>293</v>
      </c>
      <c r="E85" s="14" t="s">
        <v>57</v>
      </c>
      <c r="F85" s="14" t="s">
        <v>57</v>
      </c>
      <c r="G85" s="17" t="n">
        <v>0</v>
      </c>
      <c r="H85" s="18" t="s">
        <v>58</v>
      </c>
      <c r="I85" s="19" t="n">
        <v>0</v>
      </c>
      <c r="J85" s="19" t="n">
        <v>0</v>
      </c>
      <c r="K85" s="19" t="n">
        <v>0</v>
      </c>
      <c r="L85" s="19" t="n">
        <v>0</v>
      </c>
      <c r="M85" s="19" t="n">
        <v>0</v>
      </c>
      <c r="N85" s="19" t="n">
        <v>0</v>
      </c>
      <c r="O85" s="19" t="n">
        <v>1</v>
      </c>
      <c r="P85" s="19" t="n">
        <v>0.01873</v>
      </c>
      <c r="Q85" s="14" t="n">
        <v>2</v>
      </c>
      <c r="R85" s="14" t="n">
        <v>227</v>
      </c>
      <c r="S85" s="20" t="n">
        <v>0</v>
      </c>
      <c r="T85" s="21" t="n">
        <v>0</v>
      </c>
      <c r="U85" s="14" t="n">
        <v>0</v>
      </c>
      <c r="V85" s="15" t="s">
        <v>50</v>
      </c>
    </row>
    <row r="86" customFormat="false" ht="29.85" hidden="false" customHeight="false" outlineLevel="0" collapsed="false">
      <c r="A86" s="6" t="n">
        <v>85</v>
      </c>
      <c r="B86" s="6" t="s">
        <v>294</v>
      </c>
      <c r="C86" s="7" t="s">
        <v>134</v>
      </c>
      <c r="D86" s="8" t="s">
        <v>295</v>
      </c>
      <c r="E86" s="6" t="s">
        <v>57</v>
      </c>
      <c r="F86" s="6" t="s">
        <v>57</v>
      </c>
      <c r="G86" s="9" t="n">
        <v>0</v>
      </c>
      <c r="H86" s="8" t="s">
        <v>183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1</v>
      </c>
      <c r="P86" s="11" t="n">
        <v>0.01155</v>
      </c>
      <c r="Q86" s="6" t="n">
        <v>2</v>
      </c>
      <c r="R86" s="6" t="n">
        <v>228</v>
      </c>
      <c r="S86" s="12" t="n">
        <v>0</v>
      </c>
      <c r="T86" s="13" t="n">
        <v>0</v>
      </c>
      <c r="U86" s="6" t="n">
        <v>0</v>
      </c>
      <c r="V86" s="7" t="s">
        <v>50</v>
      </c>
    </row>
    <row r="87" customFormat="false" ht="29.85" hidden="false" customHeight="false" outlineLevel="0" collapsed="false">
      <c r="A87" s="14" t="n">
        <v>86</v>
      </c>
      <c r="B87" s="14" t="s">
        <v>296</v>
      </c>
      <c r="C87" s="15" t="s">
        <v>134</v>
      </c>
      <c r="D87" s="18" t="s">
        <v>297</v>
      </c>
      <c r="E87" s="14" t="s">
        <v>57</v>
      </c>
      <c r="F87" s="14" t="s">
        <v>57</v>
      </c>
      <c r="G87" s="17" t="n">
        <v>0</v>
      </c>
      <c r="H87" s="18" t="s">
        <v>298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1</v>
      </c>
      <c r="P87" s="19" t="n">
        <v>0.01318</v>
      </c>
      <c r="Q87" s="14" t="n">
        <v>2</v>
      </c>
      <c r="R87" s="14" t="n">
        <v>169</v>
      </c>
      <c r="S87" s="20" t="n">
        <v>0.00069</v>
      </c>
      <c r="T87" s="21" t="n">
        <v>0.02253</v>
      </c>
      <c r="U87" s="14" t="n">
        <v>1</v>
      </c>
      <c r="V87" s="15" t="s">
        <v>39</v>
      </c>
    </row>
    <row r="88" customFormat="false" ht="29.85" hidden="false" customHeight="false" outlineLevel="0" collapsed="false">
      <c r="A88" s="6" t="n">
        <v>87</v>
      </c>
      <c r="B88" s="6" t="s">
        <v>299</v>
      </c>
      <c r="C88" s="7" t="s">
        <v>134</v>
      </c>
      <c r="D88" s="8" t="s">
        <v>300</v>
      </c>
      <c r="E88" s="6" t="s">
        <v>57</v>
      </c>
      <c r="F88" s="6" t="s">
        <v>57</v>
      </c>
      <c r="G88" s="9" t="n">
        <v>0</v>
      </c>
      <c r="H88" s="8" t="s">
        <v>301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1</v>
      </c>
      <c r="N88" s="11" t="n">
        <v>1</v>
      </c>
      <c r="O88" s="11" t="n">
        <v>1</v>
      </c>
      <c r="P88" s="11" t="n">
        <v>0.40436</v>
      </c>
      <c r="Q88" s="6" t="n">
        <v>2</v>
      </c>
      <c r="R88" s="6" t="n">
        <v>149</v>
      </c>
      <c r="S88" s="12" t="n">
        <v>0.00199</v>
      </c>
      <c r="T88" s="13" t="n">
        <v>0.06498</v>
      </c>
      <c r="U88" s="6" t="n">
        <v>2</v>
      </c>
      <c r="V88" s="7" t="s">
        <v>39</v>
      </c>
    </row>
    <row r="89" customFormat="false" ht="29.85" hidden="false" customHeight="false" outlineLevel="0" collapsed="false">
      <c r="A89" s="14" t="n">
        <v>88</v>
      </c>
      <c r="B89" s="14" t="s">
        <v>302</v>
      </c>
      <c r="C89" s="15" t="s">
        <v>134</v>
      </c>
      <c r="D89" s="18" t="s">
        <v>303</v>
      </c>
      <c r="E89" s="14" t="s">
        <v>57</v>
      </c>
      <c r="F89" s="14" t="s">
        <v>57</v>
      </c>
      <c r="G89" s="17" t="n">
        <v>0</v>
      </c>
      <c r="H89" s="18" t="s">
        <v>101</v>
      </c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0</v>
      </c>
      <c r="O89" s="19" t="n">
        <v>1</v>
      </c>
      <c r="P89" s="19" t="n">
        <v>0.01836</v>
      </c>
      <c r="Q89" s="14" t="n">
        <v>2</v>
      </c>
      <c r="R89" s="14" t="n">
        <v>226</v>
      </c>
      <c r="S89" s="20" t="n">
        <v>0</v>
      </c>
      <c r="T89" s="21" t="n">
        <v>0</v>
      </c>
      <c r="U89" s="14" t="n">
        <v>0</v>
      </c>
      <c r="V89" s="15" t="s">
        <v>50</v>
      </c>
    </row>
    <row r="90" customFormat="false" ht="29.85" hidden="false" customHeight="false" outlineLevel="0" collapsed="false">
      <c r="A90" s="6" t="n">
        <v>89</v>
      </c>
      <c r="B90" s="6" t="s">
        <v>304</v>
      </c>
      <c r="C90" s="7" t="s">
        <v>134</v>
      </c>
      <c r="D90" s="8" t="s">
        <v>305</v>
      </c>
      <c r="E90" s="6" t="s">
        <v>57</v>
      </c>
      <c r="F90" s="6" t="s">
        <v>57</v>
      </c>
      <c r="G90" s="9" t="n">
        <v>0</v>
      </c>
      <c r="H90" s="8" t="s">
        <v>306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1</v>
      </c>
      <c r="N90" s="11" t="n">
        <v>1</v>
      </c>
      <c r="O90" s="11" t="n">
        <v>1</v>
      </c>
      <c r="P90" s="11" t="n">
        <v>0.36582</v>
      </c>
      <c r="Q90" s="6" t="n">
        <v>2</v>
      </c>
      <c r="R90" s="6" t="n">
        <v>180</v>
      </c>
      <c r="S90" s="12" t="n">
        <v>0.00055</v>
      </c>
      <c r="T90" s="13" t="n">
        <v>0.01786</v>
      </c>
      <c r="U90" s="6" t="n">
        <v>1</v>
      </c>
      <c r="V90" s="7" t="s">
        <v>39</v>
      </c>
    </row>
    <row r="91" customFormat="false" ht="29.85" hidden="false" customHeight="false" outlineLevel="0" collapsed="false">
      <c r="A91" s="14" t="n">
        <v>90</v>
      </c>
      <c r="B91" s="14" t="s">
        <v>307</v>
      </c>
      <c r="C91" s="15" t="s">
        <v>134</v>
      </c>
      <c r="D91" s="18" t="s">
        <v>308</v>
      </c>
      <c r="E91" s="14" t="s">
        <v>57</v>
      </c>
      <c r="F91" s="14" t="s">
        <v>57</v>
      </c>
      <c r="G91" s="17" t="n">
        <v>0</v>
      </c>
      <c r="H91" s="18" t="s">
        <v>309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1</v>
      </c>
      <c r="O91" s="19" t="n">
        <v>1</v>
      </c>
      <c r="P91" s="19" t="n">
        <v>0.06555</v>
      </c>
      <c r="Q91" s="14" t="n">
        <v>2</v>
      </c>
      <c r="R91" s="14" t="n">
        <v>234</v>
      </c>
      <c r="S91" s="20" t="n">
        <v>0</v>
      </c>
      <c r="T91" s="21" t="n">
        <v>0</v>
      </c>
      <c r="U91" s="14" t="n">
        <v>0</v>
      </c>
      <c r="V91" s="15" t="s">
        <v>50</v>
      </c>
    </row>
    <row r="92" customFormat="false" ht="29.85" hidden="false" customHeight="false" outlineLevel="0" collapsed="false">
      <c r="A92" s="6" t="n">
        <v>91</v>
      </c>
      <c r="B92" s="6" t="s">
        <v>310</v>
      </c>
      <c r="C92" s="7" t="s">
        <v>134</v>
      </c>
      <c r="D92" s="8" t="s">
        <v>311</v>
      </c>
      <c r="E92" s="6" t="s">
        <v>57</v>
      </c>
      <c r="F92" s="6" t="s">
        <v>57</v>
      </c>
      <c r="G92" s="9" t="n">
        <v>0</v>
      </c>
      <c r="H92" s="8" t="s">
        <v>312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1</v>
      </c>
      <c r="P92" s="11" t="n">
        <v>0.01391</v>
      </c>
      <c r="Q92" s="6" t="n">
        <v>2</v>
      </c>
      <c r="R92" s="6" t="n">
        <v>229</v>
      </c>
      <c r="S92" s="12" t="n">
        <v>0</v>
      </c>
      <c r="T92" s="13" t="n">
        <v>0</v>
      </c>
      <c r="U92" s="6" t="n">
        <v>0</v>
      </c>
      <c r="V92" s="7" t="s">
        <v>50</v>
      </c>
    </row>
    <row r="93" customFormat="false" ht="29.85" hidden="false" customHeight="false" outlineLevel="0" collapsed="false">
      <c r="A93" s="14" t="n">
        <v>92</v>
      </c>
      <c r="B93" s="14" t="s">
        <v>313</v>
      </c>
      <c r="C93" s="15" t="s">
        <v>134</v>
      </c>
      <c r="D93" s="18" t="s">
        <v>314</v>
      </c>
      <c r="E93" s="14" t="s">
        <v>57</v>
      </c>
      <c r="F93" s="14" t="s">
        <v>57</v>
      </c>
      <c r="G93" s="17" t="n">
        <v>0</v>
      </c>
      <c r="H93" s="18" t="s">
        <v>230</v>
      </c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0</v>
      </c>
      <c r="O93" s="19" t="n">
        <v>1</v>
      </c>
      <c r="P93" s="19" t="n">
        <v>0.01564</v>
      </c>
      <c r="Q93" s="14" t="n">
        <v>2</v>
      </c>
      <c r="R93" s="14" t="n">
        <v>230</v>
      </c>
      <c r="S93" s="20" t="n">
        <v>0</v>
      </c>
      <c r="T93" s="21" t="n">
        <v>0</v>
      </c>
      <c r="U93" s="14" t="n">
        <v>0</v>
      </c>
      <c r="V93" s="15" t="s">
        <v>50</v>
      </c>
    </row>
    <row r="94" customFormat="false" ht="29.85" hidden="false" customHeight="false" outlineLevel="0" collapsed="false">
      <c r="A94" s="6" t="n">
        <v>93</v>
      </c>
      <c r="B94" s="6" t="s">
        <v>315</v>
      </c>
      <c r="C94" s="7" t="s">
        <v>134</v>
      </c>
      <c r="D94" s="8" t="s">
        <v>316</v>
      </c>
      <c r="E94" s="6" t="s">
        <v>57</v>
      </c>
      <c r="F94" s="6" t="s">
        <v>57</v>
      </c>
      <c r="G94" s="9" t="n">
        <v>0</v>
      </c>
      <c r="H94" s="8" t="s">
        <v>317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1</v>
      </c>
      <c r="O94" s="11" t="n">
        <v>1</v>
      </c>
      <c r="P94" s="11" t="n">
        <v>0.23155</v>
      </c>
      <c r="Q94" s="6" t="n">
        <v>2</v>
      </c>
      <c r="R94" s="6" t="n">
        <v>183</v>
      </c>
      <c r="S94" s="12" t="n">
        <v>0.00048</v>
      </c>
      <c r="T94" s="13" t="n">
        <v>0.01568</v>
      </c>
      <c r="U94" s="6" t="n">
        <v>1</v>
      </c>
      <c r="V94" s="7" t="s">
        <v>39</v>
      </c>
    </row>
    <row r="95" customFormat="false" ht="29.85" hidden="false" customHeight="false" outlineLevel="0" collapsed="false">
      <c r="A95" s="14" t="n">
        <v>94</v>
      </c>
      <c r="B95" s="14" t="s">
        <v>318</v>
      </c>
      <c r="C95" s="15" t="s">
        <v>134</v>
      </c>
      <c r="D95" s="18" t="s">
        <v>319</v>
      </c>
      <c r="E95" s="14" t="s">
        <v>57</v>
      </c>
      <c r="F95" s="14" t="s">
        <v>57</v>
      </c>
      <c r="G95" s="17" t="n">
        <v>0</v>
      </c>
      <c r="H95" s="18" t="s">
        <v>320</v>
      </c>
      <c r="I95" s="19" t="n">
        <v>0</v>
      </c>
      <c r="J95" s="19" t="n">
        <v>0</v>
      </c>
      <c r="K95" s="19" t="n">
        <v>0</v>
      </c>
      <c r="L95" s="19" t="n">
        <v>0</v>
      </c>
      <c r="M95" s="19" t="n">
        <v>0</v>
      </c>
      <c r="N95" s="19" t="n">
        <v>1</v>
      </c>
      <c r="O95" s="19" t="n">
        <v>1</v>
      </c>
      <c r="P95" s="19" t="n">
        <v>0.13164</v>
      </c>
      <c r="Q95" s="14" t="n">
        <v>2</v>
      </c>
      <c r="R95" s="14" t="n">
        <v>168</v>
      </c>
      <c r="S95" s="20" t="n">
        <v>0.0007</v>
      </c>
      <c r="T95" s="21" t="n">
        <v>0.02287</v>
      </c>
      <c r="U95" s="14" t="n">
        <v>1</v>
      </c>
      <c r="V95" s="15" t="s">
        <v>39</v>
      </c>
    </row>
    <row r="96" customFormat="false" ht="29.85" hidden="false" customHeight="false" outlineLevel="0" collapsed="false">
      <c r="A96" s="6" t="n">
        <v>95</v>
      </c>
      <c r="B96" s="6" t="s">
        <v>321</v>
      </c>
      <c r="C96" s="7" t="s">
        <v>134</v>
      </c>
      <c r="D96" s="8" t="s">
        <v>322</v>
      </c>
      <c r="E96" s="6" t="s">
        <v>57</v>
      </c>
      <c r="F96" s="6" t="s">
        <v>57</v>
      </c>
      <c r="G96" s="9" t="n">
        <v>0</v>
      </c>
      <c r="H96" s="8" t="s">
        <v>323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1</v>
      </c>
      <c r="N96" s="11" t="n">
        <v>1</v>
      </c>
      <c r="O96" s="11" t="n">
        <v>1</v>
      </c>
      <c r="P96" s="11" t="n">
        <v>0.495</v>
      </c>
      <c r="Q96" s="6" t="n">
        <v>2</v>
      </c>
      <c r="R96" s="6" t="n">
        <v>114</v>
      </c>
      <c r="S96" s="12" t="n">
        <v>0.005</v>
      </c>
      <c r="T96" s="13" t="n">
        <v>0.16289</v>
      </c>
      <c r="U96" s="6" t="n">
        <v>6</v>
      </c>
      <c r="V96" s="7" t="s">
        <v>39</v>
      </c>
    </row>
    <row r="97" customFormat="false" ht="29.85" hidden="false" customHeight="false" outlineLevel="0" collapsed="false">
      <c r="A97" s="14" t="n">
        <v>96</v>
      </c>
      <c r="B97" s="14" t="s">
        <v>324</v>
      </c>
      <c r="C97" s="15" t="s">
        <v>134</v>
      </c>
      <c r="D97" s="18" t="s">
        <v>325</v>
      </c>
      <c r="E97" s="14" t="s">
        <v>57</v>
      </c>
      <c r="F97" s="14" t="s">
        <v>57</v>
      </c>
      <c r="G97" s="17" t="n">
        <v>0</v>
      </c>
      <c r="H97" s="18" t="s">
        <v>326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1</v>
      </c>
      <c r="P97" s="19" t="n">
        <v>0.02109</v>
      </c>
      <c r="Q97" s="14" t="n">
        <v>2</v>
      </c>
      <c r="R97" s="14" t="n">
        <v>231</v>
      </c>
      <c r="S97" s="20" t="n">
        <v>0</v>
      </c>
      <c r="T97" s="21" t="n">
        <v>0</v>
      </c>
      <c r="U97" s="14" t="n">
        <v>0</v>
      </c>
      <c r="V97" s="15" t="s">
        <v>50</v>
      </c>
    </row>
    <row r="98" customFormat="false" ht="29.85" hidden="false" customHeight="false" outlineLevel="0" collapsed="false">
      <c r="A98" s="6" t="n">
        <v>97</v>
      </c>
      <c r="B98" s="6" t="s">
        <v>327</v>
      </c>
      <c r="C98" s="7" t="s">
        <v>134</v>
      </c>
      <c r="D98" s="8" t="s">
        <v>328</v>
      </c>
      <c r="E98" s="6" t="s">
        <v>57</v>
      </c>
      <c r="F98" s="6" t="s">
        <v>57</v>
      </c>
      <c r="G98" s="9" t="n">
        <v>0</v>
      </c>
      <c r="H98" s="8" t="s">
        <v>329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1</v>
      </c>
      <c r="O98" s="11" t="n">
        <v>1</v>
      </c>
      <c r="P98" s="11" t="n">
        <v>0.16109</v>
      </c>
      <c r="Q98" s="6" t="n">
        <v>2</v>
      </c>
      <c r="R98" s="6" t="n">
        <v>248</v>
      </c>
      <c r="S98" s="12" t="n">
        <v>0</v>
      </c>
      <c r="T98" s="13" t="n">
        <v>0</v>
      </c>
      <c r="U98" s="6" t="n">
        <v>0</v>
      </c>
      <c r="V98" s="7" t="s">
        <v>50</v>
      </c>
    </row>
    <row r="99" customFormat="false" ht="29.85" hidden="false" customHeight="false" outlineLevel="0" collapsed="false">
      <c r="A99" s="14" t="n">
        <v>98</v>
      </c>
      <c r="B99" s="14" t="s">
        <v>330</v>
      </c>
      <c r="C99" s="15" t="s">
        <v>134</v>
      </c>
      <c r="D99" s="18" t="s">
        <v>331</v>
      </c>
      <c r="E99" s="14" t="s">
        <v>57</v>
      </c>
      <c r="F99" s="14" t="s">
        <v>57</v>
      </c>
      <c r="G99" s="17" t="n">
        <v>0</v>
      </c>
      <c r="H99" s="18" t="s">
        <v>332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1</v>
      </c>
      <c r="N99" s="19" t="n">
        <v>1</v>
      </c>
      <c r="O99" s="19" t="n">
        <v>1</v>
      </c>
      <c r="P99" s="19" t="n">
        <v>0.47355</v>
      </c>
      <c r="Q99" s="14" t="n">
        <v>2</v>
      </c>
      <c r="R99" s="14" t="n">
        <v>187</v>
      </c>
      <c r="S99" s="20" t="n">
        <v>0.00039</v>
      </c>
      <c r="T99" s="21" t="n">
        <v>0.01286</v>
      </c>
      <c r="U99" s="14" t="n">
        <v>1</v>
      </c>
      <c r="V99" s="15" t="s">
        <v>39</v>
      </c>
    </row>
    <row r="100" customFormat="false" ht="29.85" hidden="false" customHeight="false" outlineLevel="0" collapsed="false">
      <c r="A100" s="6" t="n">
        <v>99</v>
      </c>
      <c r="B100" s="6" t="s">
        <v>333</v>
      </c>
      <c r="C100" s="7" t="s">
        <v>134</v>
      </c>
      <c r="D100" s="8" t="s">
        <v>334</v>
      </c>
      <c r="E100" s="6" t="s">
        <v>57</v>
      </c>
      <c r="F100" s="6" t="s">
        <v>57</v>
      </c>
      <c r="G100" s="9" t="n">
        <v>0</v>
      </c>
      <c r="H100" s="8" t="s">
        <v>335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1</v>
      </c>
      <c r="P100" s="11" t="n">
        <v>0.03609</v>
      </c>
      <c r="Q100" s="6" t="n">
        <v>2</v>
      </c>
      <c r="R100" s="6" t="n">
        <v>112</v>
      </c>
      <c r="S100" s="12" t="n">
        <v>0.0051</v>
      </c>
      <c r="T100" s="13" t="n">
        <v>0.16623</v>
      </c>
      <c r="U100" s="6" t="n">
        <v>6</v>
      </c>
      <c r="V100" s="7" t="s">
        <v>39</v>
      </c>
    </row>
    <row r="101" customFormat="false" ht="29.85" hidden="false" customHeight="false" outlineLevel="0" collapsed="false">
      <c r="A101" s="14" t="n">
        <v>100</v>
      </c>
      <c r="B101" s="14" t="s">
        <v>336</v>
      </c>
      <c r="C101" s="15" t="s">
        <v>134</v>
      </c>
      <c r="D101" s="18" t="s">
        <v>337</v>
      </c>
      <c r="E101" s="14" t="s">
        <v>57</v>
      </c>
      <c r="F101" s="14" t="s">
        <v>57</v>
      </c>
      <c r="G101" s="17" t="n">
        <v>0</v>
      </c>
      <c r="H101" s="18" t="s">
        <v>338</v>
      </c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1</v>
      </c>
      <c r="O101" s="19" t="n">
        <v>1</v>
      </c>
      <c r="P101" s="19" t="n">
        <v>0.11009</v>
      </c>
      <c r="Q101" s="14" t="n">
        <v>2</v>
      </c>
      <c r="R101" s="14" t="n">
        <v>252</v>
      </c>
      <c r="S101" s="20" t="n">
        <v>0</v>
      </c>
      <c r="T101" s="21" t="n">
        <v>0</v>
      </c>
      <c r="U101" s="14" t="n">
        <v>0</v>
      </c>
      <c r="V101" s="15" t="s">
        <v>50</v>
      </c>
    </row>
    <row r="102" customFormat="false" ht="29.85" hidden="false" customHeight="false" outlineLevel="0" collapsed="false">
      <c r="A102" s="6" t="n">
        <v>101</v>
      </c>
      <c r="B102" s="6" t="s">
        <v>339</v>
      </c>
      <c r="C102" s="7" t="s">
        <v>134</v>
      </c>
      <c r="D102" s="8" t="s">
        <v>340</v>
      </c>
      <c r="E102" s="6" t="s">
        <v>57</v>
      </c>
      <c r="F102" s="6" t="s">
        <v>57</v>
      </c>
      <c r="G102" s="9" t="n">
        <v>0</v>
      </c>
      <c r="H102" s="8" t="s">
        <v>58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1</v>
      </c>
      <c r="P102" s="11" t="n">
        <v>0.01945</v>
      </c>
      <c r="Q102" s="6" t="n">
        <v>2</v>
      </c>
      <c r="R102" s="6" t="n">
        <v>225</v>
      </c>
      <c r="S102" s="12" t="n">
        <v>0</v>
      </c>
      <c r="T102" s="13" t="n">
        <v>0</v>
      </c>
      <c r="U102" s="6" t="n">
        <v>0</v>
      </c>
      <c r="V102" s="7" t="s">
        <v>50</v>
      </c>
    </row>
    <row r="103" customFormat="false" ht="29.85" hidden="false" customHeight="false" outlineLevel="0" collapsed="false">
      <c r="A103" s="14" t="n">
        <v>102</v>
      </c>
      <c r="B103" s="14" t="s">
        <v>341</v>
      </c>
      <c r="C103" s="15" t="s">
        <v>134</v>
      </c>
      <c r="D103" s="18" t="s">
        <v>342</v>
      </c>
      <c r="E103" s="14" t="s">
        <v>57</v>
      </c>
      <c r="F103" s="14" t="s">
        <v>57</v>
      </c>
      <c r="G103" s="17" t="n">
        <v>0</v>
      </c>
      <c r="H103" s="18" t="s">
        <v>343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1</v>
      </c>
      <c r="O103" s="19" t="n">
        <v>1</v>
      </c>
      <c r="P103" s="19" t="n">
        <v>0.09309</v>
      </c>
      <c r="Q103" s="14" t="n">
        <v>2</v>
      </c>
      <c r="R103" s="14" t="n">
        <v>253</v>
      </c>
      <c r="S103" s="20" t="n">
        <v>0</v>
      </c>
      <c r="T103" s="21" t="n">
        <v>0</v>
      </c>
      <c r="U103" s="14" t="n">
        <v>0</v>
      </c>
      <c r="V103" s="15" t="s">
        <v>50</v>
      </c>
    </row>
    <row r="104" customFormat="false" ht="29.85" hidden="false" customHeight="false" outlineLevel="0" collapsed="false">
      <c r="A104" s="6" t="n">
        <v>103</v>
      </c>
      <c r="B104" s="6" t="s">
        <v>344</v>
      </c>
      <c r="C104" s="7" t="s">
        <v>134</v>
      </c>
      <c r="D104" s="8" t="s">
        <v>345</v>
      </c>
      <c r="E104" s="6" t="s">
        <v>57</v>
      </c>
      <c r="F104" s="6" t="s">
        <v>57</v>
      </c>
      <c r="G104" s="9" t="n">
        <v>0</v>
      </c>
      <c r="H104" s="8" t="s">
        <v>346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1</v>
      </c>
      <c r="O104" s="11" t="n">
        <v>1</v>
      </c>
      <c r="P104" s="11" t="n">
        <v>0.12227</v>
      </c>
      <c r="Q104" s="6" t="n">
        <v>2</v>
      </c>
      <c r="R104" s="6" t="n">
        <v>181</v>
      </c>
      <c r="S104" s="12" t="n">
        <v>0.00053</v>
      </c>
      <c r="T104" s="13" t="n">
        <v>0.01738</v>
      </c>
      <c r="U104" s="6" t="n">
        <v>1</v>
      </c>
      <c r="V104" s="7" t="s">
        <v>39</v>
      </c>
    </row>
    <row r="105" customFormat="false" ht="29.85" hidden="false" customHeight="false" outlineLevel="0" collapsed="false">
      <c r="A105" s="14" t="n">
        <v>104</v>
      </c>
      <c r="B105" s="14" t="s">
        <v>347</v>
      </c>
      <c r="C105" s="15" t="s">
        <v>134</v>
      </c>
      <c r="D105" s="18" t="s">
        <v>348</v>
      </c>
      <c r="E105" s="14" t="s">
        <v>57</v>
      </c>
      <c r="F105" s="14" t="s">
        <v>57</v>
      </c>
      <c r="G105" s="17" t="n">
        <v>0</v>
      </c>
      <c r="H105" s="18" t="s">
        <v>349</v>
      </c>
      <c r="I105" s="19" t="n">
        <v>0</v>
      </c>
      <c r="J105" s="19" t="n">
        <v>0</v>
      </c>
      <c r="K105" s="19" t="n">
        <v>0</v>
      </c>
      <c r="L105" s="19" t="n">
        <v>0</v>
      </c>
      <c r="M105" s="19" t="n">
        <v>1</v>
      </c>
      <c r="N105" s="19" t="n">
        <v>1</v>
      </c>
      <c r="O105" s="19" t="n">
        <v>1</v>
      </c>
      <c r="P105" s="19" t="n">
        <v>0.412</v>
      </c>
      <c r="Q105" s="14" t="n">
        <v>2</v>
      </c>
      <c r="R105" s="14" t="n">
        <v>254</v>
      </c>
      <c r="S105" s="20" t="n">
        <v>0</v>
      </c>
      <c r="T105" s="21" t="n">
        <v>0</v>
      </c>
      <c r="U105" s="14" t="n">
        <v>0</v>
      </c>
      <c r="V105" s="15" t="s">
        <v>50</v>
      </c>
    </row>
    <row r="106" customFormat="false" ht="29.85" hidden="false" customHeight="false" outlineLevel="0" collapsed="false">
      <c r="A106" s="6" t="n">
        <v>105</v>
      </c>
      <c r="B106" s="6" t="s">
        <v>350</v>
      </c>
      <c r="C106" s="7" t="s">
        <v>134</v>
      </c>
      <c r="D106" s="8" t="s">
        <v>351</v>
      </c>
      <c r="E106" s="6" t="s">
        <v>57</v>
      </c>
      <c r="F106" s="6" t="s">
        <v>57</v>
      </c>
      <c r="G106" s="9" t="n">
        <v>0</v>
      </c>
      <c r="H106" s="8" t="s">
        <v>352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1</v>
      </c>
      <c r="P106" s="11" t="n">
        <v>0.03445</v>
      </c>
      <c r="Q106" s="6" t="n">
        <v>2</v>
      </c>
      <c r="R106" s="6" t="n">
        <v>224</v>
      </c>
      <c r="S106" s="12" t="n">
        <v>0</v>
      </c>
      <c r="T106" s="13" t="n">
        <v>0</v>
      </c>
      <c r="U106" s="6" t="n">
        <v>0</v>
      </c>
      <c r="V106" s="7" t="s">
        <v>50</v>
      </c>
    </row>
    <row r="107" customFormat="false" ht="29.85" hidden="false" customHeight="false" outlineLevel="0" collapsed="false">
      <c r="A107" s="14" t="n">
        <v>106</v>
      </c>
      <c r="B107" s="14" t="s">
        <v>353</v>
      </c>
      <c r="C107" s="15" t="s">
        <v>134</v>
      </c>
      <c r="D107" s="18" t="s">
        <v>354</v>
      </c>
      <c r="E107" s="14" t="s">
        <v>57</v>
      </c>
      <c r="F107" s="14" t="s">
        <v>57</v>
      </c>
      <c r="G107" s="17" t="n">
        <v>0</v>
      </c>
      <c r="H107" s="18" t="s">
        <v>171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1</v>
      </c>
      <c r="O107" s="19" t="n">
        <v>1</v>
      </c>
      <c r="P107" s="19" t="n">
        <v>0.08555</v>
      </c>
      <c r="Q107" s="14" t="n">
        <v>2</v>
      </c>
      <c r="R107" s="14" t="n">
        <v>232</v>
      </c>
      <c r="S107" s="20" t="n">
        <v>0</v>
      </c>
      <c r="T107" s="21" t="n">
        <v>0</v>
      </c>
      <c r="U107" s="14" t="n">
        <v>0</v>
      </c>
      <c r="V107" s="15" t="s">
        <v>50</v>
      </c>
    </row>
    <row r="108" customFormat="false" ht="29.85" hidden="false" customHeight="false" outlineLevel="0" collapsed="false">
      <c r="A108" s="6" t="n">
        <v>107</v>
      </c>
      <c r="B108" s="6" t="s">
        <v>355</v>
      </c>
      <c r="C108" s="7" t="s">
        <v>134</v>
      </c>
      <c r="D108" s="8" t="s">
        <v>356</v>
      </c>
      <c r="E108" s="6" t="s">
        <v>57</v>
      </c>
      <c r="F108" s="6" t="s">
        <v>57</v>
      </c>
      <c r="G108" s="9" t="n">
        <v>0</v>
      </c>
      <c r="H108" s="8" t="s">
        <v>357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1</v>
      </c>
      <c r="P108" s="11" t="n">
        <v>0.02555</v>
      </c>
      <c r="Q108" s="6" t="n">
        <v>2</v>
      </c>
      <c r="R108" s="6" t="n">
        <v>250</v>
      </c>
      <c r="S108" s="12" t="n">
        <v>0</v>
      </c>
      <c r="T108" s="13" t="n">
        <v>0</v>
      </c>
      <c r="U108" s="6" t="n">
        <v>0</v>
      </c>
      <c r="V108" s="7" t="s">
        <v>50</v>
      </c>
    </row>
    <row r="109" customFormat="false" ht="29.85" hidden="false" customHeight="false" outlineLevel="0" collapsed="false">
      <c r="A109" s="14" t="n">
        <v>108</v>
      </c>
      <c r="B109" s="14" t="s">
        <v>358</v>
      </c>
      <c r="C109" s="15" t="s">
        <v>134</v>
      </c>
      <c r="D109" s="18" t="s">
        <v>359</v>
      </c>
      <c r="E109" s="14" t="s">
        <v>57</v>
      </c>
      <c r="F109" s="14" t="s">
        <v>57</v>
      </c>
      <c r="G109" s="17" t="n">
        <v>0</v>
      </c>
      <c r="H109" s="18" t="s">
        <v>119</v>
      </c>
      <c r="I109" s="19" t="n">
        <v>0</v>
      </c>
      <c r="J109" s="19" t="n">
        <v>0</v>
      </c>
      <c r="K109" s="19" t="n">
        <v>0</v>
      </c>
      <c r="L109" s="19" t="n">
        <v>0</v>
      </c>
      <c r="M109" s="19" t="n">
        <v>0</v>
      </c>
      <c r="N109" s="19" t="n">
        <v>0</v>
      </c>
      <c r="O109" s="19" t="n">
        <v>1</v>
      </c>
      <c r="P109" s="19" t="n">
        <v>0.04418</v>
      </c>
      <c r="Q109" s="14" t="n">
        <v>2</v>
      </c>
      <c r="R109" s="14" t="n">
        <v>249</v>
      </c>
      <c r="S109" s="20" t="n">
        <v>0</v>
      </c>
      <c r="T109" s="21" t="n">
        <v>0</v>
      </c>
      <c r="U109" s="14" t="n">
        <v>0</v>
      </c>
      <c r="V109" s="15" t="s">
        <v>50</v>
      </c>
    </row>
    <row r="110" customFormat="false" ht="29.85" hidden="false" customHeight="false" outlineLevel="0" collapsed="false">
      <c r="A110" s="6" t="n">
        <v>109</v>
      </c>
      <c r="B110" s="6" t="s">
        <v>360</v>
      </c>
      <c r="C110" s="7" t="s">
        <v>134</v>
      </c>
      <c r="D110" s="8" t="s">
        <v>361</v>
      </c>
      <c r="E110" s="6" t="s">
        <v>57</v>
      </c>
      <c r="F110" s="6" t="s">
        <v>57</v>
      </c>
      <c r="G110" s="9" t="n">
        <v>0</v>
      </c>
      <c r="H110" s="8" t="s">
        <v>58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1</v>
      </c>
      <c r="P110" s="11" t="n">
        <v>0.01864</v>
      </c>
      <c r="Q110" s="6" t="n">
        <v>2</v>
      </c>
      <c r="R110" s="6" t="n">
        <v>251</v>
      </c>
      <c r="S110" s="12" t="n">
        <v>0</v>
      </c>
      <c r="T110" s="13" t="n">
        <v>0</v>
      </c>
      <c r="U110" s="6" t="n">
        <v>0</v>
      </c>
      <c r="V110" s="7" t="s">
        <v>50</v>
      </c>
    </row>
    <row r="111" customFormat="false" ht="29.85" hidden="false" customHeight="false" outlineLevel="0" collapsed="false">
      <c r="A111" s="14" t="n">
        <v>110</v>
      </c>
      <c r="B111" s="14" t="s">
        <v>362</v>
      </c>
      <c r="C111" s="15" t="s">
        <v>134</v>
      </c>
      <c r="D111" s="18" t="s">
        <v>363</v>
      </c>
      <c r="E111" s="14" t="s">
        <v>57</v>
      </c>
      <c r="F111" s="14" t="s">
        <v>57</v>
      </c>
      <c r="G111" s="17" t="n">
        <v>0</v>
      </c>
      <c r="H111" s="18" t="s">
        <v>364</v>
      </c>
      <c r="I111" s="19" t="n">
        <v>0</v>
      </c>
      <c r="J111" s="19" t="n">
        <v>0</v>
      </c>
      <c r="K111" s="19" t="n">
        <v>0</v>
      </c>
      <c r="L111" s="19" t="n">
        <v>0</v>
      </c>
      <c r="M111" s="19" t="n">
        <v>0</v>
      </c>
      <c r="N111" s="19" t="n">
        <v>0</v>
      </c>
      <c r="O111" s="19" t="n">
        <v>1</v>
      </c>
      <c r="P111" s="19" t="n">
        <v>0.04655</v>
      </c>
      <c r="Q111" s="14" t="n">
        <v>2</v>
      </c>
      <c r="R111" s="14" t="n">
        <v>120</v>
      </c>
      <c r="S111" s="20" t="n">
        <v>0.00427</v>
      </c>
      <c r="T111" s="21" t="n">
        <v>0.13926</v>
      </c>
      <c r="U111" s="14" t="n">
        <v>5</v>
      </c>
      <c r="V111" s="15" t="s">
        <v>39</v>
      </c>
    </row>
    <row r="112" customFormat="false" ht="29.85" hidden="false" customHeight="false" outlineLevel="0" collapsed="false">
      <c r="A112" s="6" t="n">
        <v>111</v>
      </c>
      <c r="B112" s="6" t="s">
        <v>365</v>
      </c>
      <c r="C112" s="7" t="s">
        <v>134</v>
      </c>
      <c r="D112" s="8" t="s">
        <v>366</v>
      </c>
      <c r="E112" s="6" t="s">
        <v>57</v>
      </c>
      <c r="F112" s="6" t="s">
        <v>57</v>
      </c>
      <c r="G112" s="9" t="n">
        <v>0</v>
      </c>
      <c r="H112" s="8" t="s">
        <v>367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1</v>
      </c>
      <c r="P112" s="11" t="n">
        <v>0.03027</v>
      </c>
      <c r="Q112" s="6" t="n">
        <v>2</v>
      </c>
      <c r="R112" s="6" t="n">
        <v>198</v>
      </c>
      <c r="S112" s="12" t="n">
        <v>0</v>
      </c>
      <c r="T112" s="13" t="n">
        <v>0</v>
      </c>
      <c r="U112" s="6" t="n">
        <v>0</v>
      </c>
      <c r="V112" s="7" t="s">
        <v>50</v>
      </c>
    </row>
    <row r="113" customFormat="false" ht="29.85" hidden="false" customHeight="false" outlineLevel="0" collapsed="false">
      <c r="A113" s="14" t="n">
        <v>112</v>
      </c>
      <c r="B113" s="14" t="s">
        <v>368</v>
      </c>
      <c r="C113" s="15" t="s">
        <v>134</v>
      </c>
      <c r="D113" s="18" t="s">
        <v>369</v>
      </c>
      <c r="E113" s="14" t="s">
        <v>57</v>
      </c>
      <c r="F113" s="14" t="s">
        <v>57</v>
      </c>
      <c r="G113" s="17" t="n">
        <v>0</v>
      </c>
      <c r="H113" s="18" t="s">
        <v>370</v>
      </c>
      <c r="I113" s="19" t="n">
        <v>0</v>
      </c>
      <c r="J113" s="19" t="n">
        <v>0</v>
      </c>
      <c r="K113" s="19" t="n">
        <v>0</v>
      </c>
      <c r="L113" s="19" t="n">
        <v>0</v>
      </c>
      <c r="M113" s="19" t="n">
        <v>0</v>
      </c>
      <c r="N113" s="19" t="n">
        <v>0</v>
      </c>
      <c r="O113" s="19" t="n">
        <v>1</v>
      </c>
      <c r="P113" s="19" t="n">
        <v>0.04573</v>
      </c>
      <c r="Q113" s="14" t="n">
        <v>2</v>
      </c>
      <c r="R113" s="14" t="n">
        <v>199</v>
      </c>
      <c r="S113" s="20" t="n">
        <v>0</v>
      </c>
      <c r="T113" s="21" t="n">
        <v>0</v>
      </c>
      <c r="U113" s="14" t="n">
        <v>0</v>
      </c>
      <c r="V113" s="15" t="s">
        <v>50</v>
      </c>
    </row>
    <row r="114" customFormat="false" ht="29.85" hidden="false" customHeight="false" outlineLevel="0" collapsed="false">
      <c r="A114" s="6" t="n">
        <v>113</v>
      </c>
      <c r="B114" s="6" t="s">
        <v>371</v>
      </c>
      <c r="C114" s="7" t="s">
        <v>134</v>
      </c>
      <c r="D114" s="8" t="s">
        <v>372</v>
      </c>
      <c r="E114" s="6" t="s">
        <v>57</v>
      </c>
      <c r="F114" s="6" t="s">
        <v>57</v>
      </c>
      <c r="G114" s="9" t="n">
        <v>0</v>
      </c>
      <c r="H114" s="8" t="s">
        <v>373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1</v>
      </c>
      <c r="N114" s="11" t="n">
        <v>1</v>
      </c>
      <c r="O114" s="11" t="n">
        <v>1</v>
      </c>
      <c r="P114" s="11" t="n">
        <v>0.43827</v>
      </c>
      <c r="Q114" s="6" t="n">
        <v>2</v>
      </c>
      <c r="R114" s="6" t="n">
        <v>38</v>
      </c>
      <c r="S114" s="12" t="n">
        <v>0.02325</v>
      </c>
      <c r="T114" s="13" t="n">
        <v>0.758</v>
      </c>
      <c r="U114" s="6" t="n">
        <v>13</v>
      </c>
      <c r="V114" s="7" t="s">
        <v>39</v>
      </c>
    </row>
    <row r="115" customFormat="false" ht="29.85" hidden="false" customHeight="false" outlineLevel="0" collapsed="false">
      <c r="A115" s="14" t="n">
        <v>114</v>
      </c>
      <c r="B115" s="14" t="s">
        <v>374</v>
      </c>
      <c r="C115" s="15" t="s">
        <v>134</v>
      </c>
      <c r="D115" s="18" t="s">
        <v>375</v>
      </c>
      <c r="E115" s="14" t="s">
        <v>57</v>
      </c>
      <c r="F115" s="14" t="s">
        <v>57</v>
      </c>
      <c r="G115" s="17" t="n">
        <v>0</v>
      </c>
      <c r="H115" s="18" t="s">
        <v>376</v>
      </c>
      <c r="I115" s="19" t="n">
        <v>0</v>
      </c>
      <c r="J115" s="19" t="n">
        <v>0</v>
      </c>
      <c r="K115" s="19" t="n">
        <v>0</v>
      </c>
      <c r="L115" s="19" t="n">
        <v>0</v>
      </c>
      <c r="M115" s="19" t="n">
        <v>0</v>
      </c>
      <c r="N115" s="19" t="n">
        <v>1</v>
      </c>
      <c r="O115" s="19" t="n">
        <v>1</v>
      </c>
      <c r="P115" s="19" t="n">
        <v>0.22855</v>
      </c>
      <c r="Q115" s="14" t="n">
        <v>2</v>
      </c>
      <c r="R115" s="14" t="n">
        <v>200</v>
      </c>
      <c r="S115" s="20" t="n">
        <v>0</v>
      </c>
      <c r="T115" s="21" t="n">
        <v>0</v>
      </c>
      <c r="U115" s="14" t="n">
        <v>0</v>
      </c>
      <c r="V115" s="15" t="s">
        <v>50</v>
      </c>
    </row>
    <row r="116" customFormat="false" ht="29.85" hidden="false" customHeight="false" outlineLevel="0" collapsed="false">
      <c r="A116" s="6" t="n">
        <v>115</v>
      </c>
      <c r="B116" s="6" t="s">
        <v>377</v>
      </c>
      <c r="C116" s="7" t="s">
        <v>134</v>
      </c>
      <c r="D116" s="8" t="s">
        <v>378</v>
      </c>
      <c r="E116" s="6" t="s">
        <v>57</v>
      </c>
      <c r="F116" s="6" t="s">
        <v>57</v>
      </c>
      <c r="G116" s="9" t="n">
        <v>0</v>
      </c>
      <c r="H116" s="8" t="s">
        <v>379</v>
      </c>
      <c r="I116" s="11" t="n">
        <v>0</v>
      </c>
      <c r="J116" s="11" t="n">
        <v>0</v>
      </c>
      <c r="K116" s="11" t="n">
        <v>1</v>
      </c>
      <c r="L116" s="11" t="n">
        <v>1</v>
      </c>
      <c r="M116" s="11" t="n">
        <v>1</v>
      </c>
      <c r="N116" s="11" t="n">
        <v>1</v>
      </c>
      <c r="O116" s="11" t="n">
        <v>1</v>
      </c>
      <c r="P116" s="11" t="n">
        <v>0.94827</v>
      </c>
      <c r="Q116" s="6" t="n">
        <v>2</v>
      </c>
      <c r="R116" s="6" t="n">
        <v>193</v>
      </c>
      <c r="S116" s="12" t="n">
        <v>0</v>
      </c>
      <c r="T116" s="13" t="n">
        <v>0</v>
      </c>
      <c r="U116" s="6" t="n">
        <v>0</v>
      </c>
      <c r="V116" s="7" t="s">
        <v>50</v>
      </c>
    </row>
    <row r="117" customFormat="false" ht="29.85" hidden="false" customHeight="false" outlineLevel="0" collapsed="false">
      <c r="A117" s="14" t="n">
        <v>116</v>
      </c>
      <c r="B117" s="14" t="s">
        <v>380</v>
      </c>
      <c r="C117" s="15" t="s">
        <v>134</v>
      </c>
      <c r="D117" s="18" t="s">
        <v>381</v>
      </c>
      <c r="E117" s="14" t="s">
        <v>57</v>
      </c>
      <c r="F117" s="14" t="s">
        <v>57</v>
      </c>
      <c r="G117" s="17" t="n">
        <v>0</v>
      </c>
      <c r="H117" s="18" t="s">
        <v>382</v>
      </c>
      <c r="I117" s="19" t="n">
        <v>0</v>
      </c>
      <c r="J117" s="19" t="n">
        <v>0</v>
      </c>
      <c r="K117" s="19" t="n">
        <v>1</v>
      </c>
      <c r="L117" s="19" t="n">
        <v>1</v>
      </c>
      <c r="M117" s="19" t="n">
        <v>1</v>
      </c>
      <c r="N117" s="19" t="n">
        <v>1</v>
      </c>
      <c r="O117" s="19" t="n">
        <v>1</v>
      </c>
      <c r="P117" s="19" t="n">
        <v>0.85282</v>
      </c>
      <c r="Q117" s="14" t="n">
        <v>2</v>
      </c>
      <c r="R117" s="14" t="n">
        <v>55</v>
      </c>
      <c r="S117" s="20" t="n">
        <v>0.01609</v>
      </c>
      <c r="T117" s="21" t="n">
        <v>0.52441</v>
      </c>
      <c r="U117" s="14" t="n">
        <v>10</v>
      </c>
      <c r="V117" s="15" t="s">
        <v>39</v>
      </c>
    </row>
    <row r="118" customFormat="false" ht="29.85" hidden="false" customHeight="false" outlineLevel="0" collapsed="false">
      <c r="A118" s="6" t="n">
        <v>117</v>
      </c>
      <c r="B118" s="6" t="s">
        <v>383</v>
      </c>
      <c r="C118" s="7" t="s">
        <v>134</v>
      </c>
      <c r="D118" s="8" t="s">
        <v>384</v>
      </c>
      <c r="E118" s="6" t="s">
        <v>57</v>
      </c>
      <c r="F118" s="6" t="s">
        <v>57</v>
      </c>
      <c r="G118" s="9" t="n">
        <v>0</v>
      </c>
      <c r="H118" s="8" t="s">
        <v>101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1</v>
      </c>
      <c r="P118" s="11" t="n">
        <v>0.01809</v>
      </c>
      <c r="Q118" s="6" t="n">
        <v>2</v>
      </c>
      <c r="R118" s="6" t="n">
        <v>222</v>
      </c>
      <c r="S118" s="12" t="n">
        <v>0</v>
      </c>
      <c r="T118" s="13" t="n">
        <v>0</v>
      </c>
      <c r="U118" s="6" t="n">
        <v>0</v>
      </c>
      <c r="V118" s="7" t="s">
        <v>50</v>
      </c>
    </row>
    <row r="119" customFormat="false" ht="29.85" hidden="false" customHeight="false" outlineLevel="0" collapsed="false">
      <c r="A119" s="14" t="n">
        <v>118</v>
      </c>
      <c r="B119" s="14" t="s">
        <v>385</v>
      </c>
      <c r="C119" s="15" t="s">
        <v>134</v>
      </c>
      <c r="D119" s="18" t="s">
        <v>386</v>
      </c>
      <c r="E119" s="14" t="s">
        <v>57</v>
      </c>
      <c r="F119" s="14" t="s">
        <v>57</v>
      </c>
      <c r="G119" s="17" t="n">
        <v>0</v>
      </c>
      <c r="H119" s="18" t="s">
        <v>387</v>
      </c>
      <c r="I119" s="19" t="n">
        <v>0</v>
      </c>
      <c r="J119" s="19" t="n">
        <v>0</v>
      </c>
      <c r="K119" s="19" t="n">
        <v>0</v>
      </c>
      <c r="L119" s="19" t="n">
        <v>0</v>
      </c>
      <c r="M119" s="19" t="n">
        <v>1</v>
      </c>
      <c r="N119" s="19" t="n">
        <v>1</v>
      </c>
      <c r="O119" s="19" t="n">
        <v>1</v>
      </c>
      <c r="P119" s="19" t="n">
        <v>0.29327</v>
      </c>
      <c r="Q119" s="14" t="n">
        <v>2</v>
      </c>
      <c r="R119" s="14" t="n">
        <v>139</v>
      </c>
      <c r="S119" s="20" t="n">
        <v>0.00278</v>
      </c>
      <c r="T119" s="21" t="n">
        <v>0.09068</v>
      </c>
      <c r="U119" s="14" t="n">
        <v>2</v>
      </c>
      <c r="V119" s="15" t="s">
        <v>39</v>
      </c>
    </row>
    <row r="120" customFormat="false" ht="29.85" hidden="false" customHeight="false" outlineLevel="0" collapsed="false">
      <c r="A120" s="6" t="n">
        <v>119</v>
      </c>
      <c r="B120" s="6" t="s">
        <v>388</v>
      </c>
      <c r="C120" s="7" t="s">
        <v>134</v>
      </c>
      <c r="D120" s="8" t="s">
        <v>389</v>
      </c>
      <c r="E120" s="6" t="s">
        <v>57</v>
      </c>
      <c r="F120" s="6" t="s">
        <v>57</v>
      </c>
      <c r="G120" s="9" t="n">
        <v>0</v>
      </c>
      <c r="H120" s="8" t="s">
        <v>326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1</v>
      </c>
      <c r="P120" s="11" t="n">
        <v>0.02091</v>
      </c>
      <c r="Q120" s="6" t="n">
        <v>2</v>
      </c>
      <c r="R120" s="6" t="n">
        <v>194</v>
      </c>
      <c r="S120" s="12" t="n">
        <v>0</v>
      </c>
      <c r="T120" s="13" t="n">
        <v>0</v>
      </c>
      <c r="U120" s="6" t="n">
        <v>0</v>
      </c>
      <c r="V120" s="7" t="s">
        <v>50</v>
      </c>
    </row>
    <row r="121" customFormat="false" ht="29.85" hidden="false" customHeight="false" outlineLevel="0" collapsed="false">
      <c r="A121" s="14" t="n">
        <v>120</v>
      </c>
      <c r="B121" s="14" t="s">
        <v>390</v>
      </c>
      <c r="C121" s="15" t="s">
        <v>134</v>
      </c>
      <c r="D121" s="18" t="s">
        <v>391</v>
      </c>
      <c r="E121" s="14" t="s">
        <v>57</v>
      </c>
      <c r="F121" s="14" t="s">
        <v>57</v>
      </c>
      <c r="G121" s="17" t="n">
        <v>0</v>
      </c>
      <c r="H121" s="18" t="s">
        <v>392</v>
      </c>
      <c r="I121" s="19" t="n">
        <v>0</v>
      </c>
      <c r="J121" s="19" t="n">
        <v>0</v>
      </c>
      <c r="K121" s="19" t="n">
        <v>0</v>
      </c>
      <c r="L121" s="19" t="n">
        <v>0</v>
      </c>
      <c r="M121" s="19" t="n">
        <v>0</v>
      </c>
      <c r="N121" s="19" t="n">
        <v>1</v>
      </c>
      <c r="O121" s="19" t="n">
        <v>1</v>
      </c>
      <c r="P121" s="19" t="n">
        <v>0.17573</v>
      </c>
      <c r="Q121" s="14" t="n">
        <v>2</v>
      </c>
      <c r="R121" s="14" t="n">
        <v>129</v>
      </c>
      <c r="S121" s="20" t="n">
        <v>0.00366</v>
      </c>
      <c r="T121" s="21" t="n">
        <v>0.11928</v>
      </c>
      <c r="U121" s="14" t="n">
        <v>3</v>
      </c>
      <c r="V121" s="15" t="s">
        <v>39</v>
      </c>
    </row>
    <row r="122" customFormat="false" ht="29.85" hidden="false" customHeight="false" outlineLevel="0" collapsed="false">
      <c r="A122" s="6" t="n">
        <v>121</v>
      </c>
      <c r="B122" s="6" t="s">
        <v>393</v>
      </c>
      <c r="C122" s="7" t="s">
        <v>134</v>
      </c>
      <c r="D122" s="8" t="s">
        <v>394</v>
      </c>
      <c r="E122" s="6" t="s">
        <v>57</v>
      </c>
      <c r="F122" s="6" t="s">
        <v>57</v>
      </c>
      <c r="G122" s="9" t="n">
        <v>0</v>
      </c>
      <c r="H122" s="8" t="s">
        <v>395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1</v>
      </c>
      <c r="N122" s="11" t="n">
        <v>1</v>
      </c>
      <c r="O122" s="11" t="n">
        <v>1</v>
      </c>
      <c r="P122" s="11" t="n">
        <v>0.29945</v>
      </c>
      <c r="Q122" s="6" t="n">
        <v>2</v>
      </c>
      <c r="R122" s="6" t="n">
        <v>223</v>
      </c>
      <c r="S122" s="12" t="n">
        <v>0</v>
      </c>
      <c r="T122" s="13" t="n">
        <v>0</v>
      </c>
      <c r="U122" s="6" t="n">
        <v>0</v>
      </c>
      <c r="V122" s="7" t="s">
        <v>50</v>
      </c>
    </row>
    <row r="123" customFormat="false" ht="29.85" hidden="false" customHeight="false" outlineLevel="0" collapsed="false">
      <c r="A123" s="14" t="n">
        <v>122</v>
      </c>
      <c r="B123" s="14" t="s">
        <v>396</v>
      </c>
      <c r="C123" s="15" t="s">
        <v>134</v>
      </c>
      <c r="D123" s="18" t="s">
        <v>397</v>
      </c>
      <c r="E123" s="14" t="s">
        <v>57</v>
      </c>
      <c r="F123" s="14" t="s">
        <v>57</v>
      </c>
      <c r="G123" s="17" t="n">
        <v>0</v>
      </c>
      <c r="H123" s="18" t="s">
        <v>398</v>
      </c>
      <c r="I123" s="19" t="n">
        <v>0</v>
      </c>
      <c r="J123" s="19" t="n">
        <v>0</v>
      </c>
      <c r="K123" s="19" t="n">
        <v>0</v>
      </c>
      <c r="L123" s="19" t="n">
        <v>0</v>
      </c>
      <c r="M123" s="19" t="n">
        <v>1</v>
      </c>
      <c r="N123" s="19" t="n">
        <v>1</v>
      </c>
      <c r="O123" s="19" t="n">
        <v>1</v>
      </c>
      <c r="P123" s="19" t="n">
        <v>0.30127</v>
      </c>
      <c r="Q123" s="14" t="n">
        <v>2</v>
      </c>
      <c r="R123" s="14" t="n">
        <v>192</v>
      </c>
      <c r="S123" s="20" t="n">
        <v>0</v>
      </c>
      <c r="T123" s="21" t="n">
        <v>0</v>
      </c>
      <c r="U123" s="14" t="n">
        <v>0</v>
      </c>
      <c r="V123" s="15" t="s">
        <v>50</v>
      </c>
    </row>
    <row r="124" customFormat="false" ht="29.85" hidden="false" customHeight="false" outlineLevel="0" collapsed="false">
      <c r="A124" s="6" t="n">
        <v>123</v>
      </c>
      <c r="B124" s="6" t="s">
        <v>399</v>
      </c>
      <c r="C124" s="7" t="s">
        <v>134</v>
      </c>
      <c r="D124" s="8" t="s">
        <v>400</v>
      </c>
      <c r="E124" s="6" t="s">
        <v>57</v>
      </c>
      <c r="F124" s="6" t="s">
        <v>57</v>
      </c>
      <c r="G124" s="9" t="n">
        <v>0</v>
      </c>
      <c r="H124" s="8" t="s">
        <v>401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1</v>
      </c>
      <c r="O124" s="11" t="n">
        <v>1</v>
      </c>
      <c r="P124" s="11" t="n">
        <v>0.24955</v>
      </c>
      <c r="Q124" s="6" t="n">
        <v>2</v>
      </c>
      <c r="R124" s="6" t="n">
        <v>170</v>
      </c>
      <c r="S124" s="12" t="n">
        <v>0.00066</v>
      </c>
      <c r="T124" s="13" t="n">
        <v>0.02157</v>
      </c>
      <c r="U124" s="6" t="n">
        <v>1</v>
      </c>
      <c r="V124" s="7" t="s">
        <v>39</v>
      </c>
    </row>
    <row r="125" customFormat="false" ht="29.85" hidden="false" customHeight="false" outlineLevel="0" collapsed="false">
      <c r="A125" s="14" t="n">
        <v>124</v>
      </c>
      <c r="B125" s="14" t="s">
        <v>402</v>
      </c>
      <c r="C125" s="15" t="s">
        <v>134</v>
      </c>
      <c r="D125" s="18" t="s">
        <v>403</v>
      </c>
      <c r="E125" s="14" t="s">
        <v>57</v>
      </c>
      <c r="F125" s="14" t="s">
        <v>57</v>
      </c>
      <c r="G125" s="17" t="n">
        <v>0</v>
      </c>
      <c r="H125" s="18" t="s">
        <v>404</v>
      </c>
      <c r="I125" s="19" t="n">
        <v>0</v>
      </c>
      <c r="J125" s="19" t="n">
        <v>0</v>
      </c>
      <c r="K125" s="19" t="n">
        <v>0</v>
      </c>
      <c r="L125" s="19" t="n">
        <v>0</v>
      </c>
      <c r="M125" s="19" t="n">
        <v>0</v>
      </c>
      <c r="N125" s="19" t="n">
        <v>0</v>
      </c>
      <c r="O125" s="19" t="n">
        <v>1</v>
      </c>
      <c r="P125" s="19" t="n">
        <v>0.04009</v>
      </c>
      <c r="Q125" s="14" t="n">
        <v>2</v>
      </c>
      <c r="R125" s="14" t="n">
        <v>221</v>
      </c>
      <c r="S125" s="20" t="n">
        <v>0</v>
      </c>
      <c r="T125" s="21" t="n">
        <v>0</v>
      </c>
      <c r="U125" s="14" t="n">
        <v>0</v>
      </c>
      <c r="V125" s="15" t="s">
        <v>50</v>
      </c>
    </row>
    <row r="126" customFormat="false" ht="29.85" hidden="false" customHeight="false" outlineLevel="0" collapsed="false">
      <c r="A126" s="6" t="n">
        <v>125</v>
      </c>
      <c r="B126" s="6" t="s">
        <v>405</v>
      </c>
      <c r="C126" s="7" t="s">
        <v>134</v>
      </c>
      <c r="D126" s="8" t="s">
        <v>406</v>
      </c>
      <c r="E126" s="6" t="s">
        <v>57</v>
      </c>
      <c r="F126" s="6" t="s">
        <v>57</v>
      </c>
      <c r="G126" s="9" t="n">
        <v>0</v>
      </c>
      <c r="H126" s="8" t="s">
        <v>230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1</v>
      </c>
      <c r="P126" s="11" t="n">
        <v>0.01591</v>
      </c>
      <c r="Q126" s="6" t="n">
        <v>2</v>
      </c>
      <c r="R126" s="6" t="n">
        <v>219</v>
      </c>
      <c r="S126" s="12" t="n">
        <v>0</v>
      </c>
      <c r="T126" s="13" t="n">
        <v>0</v>
      </c>
      <c r="U126" s="6" t="n">
        <v>0</v>
      </c>
      <c r="V126" s="7" t="s">
        <v>50</v>
      </c>
    </row>
    <row r="127" customFormat="false" ht="29.85" hidden="false" customHeight="false" outlineLevel="0" collapsed="false">
      <c r="A127" s="14" t="n">
        <v>126</v>
      </c>
      <c r="B127" s="14" t="s">
        <v>407</v>
      </c>
      <c r="C127" s="15" t="s">
        <v>134</v>
      </c>
      <c r="D127" s="18" t="s">
        <v>408</v>
      </c>
      <c r="E127" s="14" t="s">
        <v>57</v>
      </c>
      <c r="F127" s="14" t="s">
        <v>57</v>
      </c>
      <c r="G127" s="17" t="n">
        <v>0</v>
      </c>
      <c r="H127" s="18" t="s">
        <v>335</v>
      </c>
      <c r="I127" s="19" t="n">
        <v>0</v>
      </c>
      <c r="J127" s="19" t="n">
        <v>0</v>
      </c>
      <c r="K127" s="19" t="n">
        <v>0</v>
      </c>
      <c r="L127" s="19" t="n">
        <v>0</v>
      </c>
      <c r="M127" s="19" t="n">
        <v>0</v>
      </c>
      <c r="N127" s="19" t="n">
        <v>0</v>
      </c>
      <c r="O127" s="19" t="n">
        <v>1</v>
      </c>
      <c r="P127" s="19" t="n">
        <v>0.03618</v>
      </c>
      <c r="Q127" s="14" t="n">
        <v>2</v>
      </c>
      <c r="R127" s="14" t="n">
        <v>220</v>
      </c>
      <c r="S127" s="20" t="n">
        <v>0</v>
      </c>
      <c r="T127" s="21" t="n">
        <v>0</v>
      </c>
      <c r="U127" s="14" t="n">
        <v>0</v>
      </c>
      <c r="V127" s="15" t="s">
        <v>50</v>
      </c>
    </row>
    <row r="128" customFormat="false" ht="29.85" hidden="false" customHeight="false" outlineLevel="0" collapsed="false">
      <c r="A128" s="6" t="n">
        <v>127</v>
      </c>
      <c r="B128" s="6" t="s">
        <v>409</v>
      </c>
      <c r="C128" s="7" t="s">
        <v>134</v>
      </c>
      <c r="D128" s="8" t="s">
        <v>410</v>
      </c>
      <c r="E128" s="6" t="s">
        <v>57</v>
      </c>
      <c r="F128" s="6" t="s">
        <v>57</v>
      </c>
      <c r="G128" s="9" t="n">
        <v>0</v>
      </c>
      <c r="H128" s="8" t="s">
        <v>147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1</v>
      </c>
      <c r="O128" s="11" t="n">
        <v>1</v>
      </c>
      <c r="P128" s="11" t="n">
        <v>0.05682</v>
      </c>
      <c r="Q128" s="6" t="n">
        <v>2</v>
      </c>
      <c r="R128" s="6" t="n">
        <v>163</v>
      </c>
      <c r="S128" s="12" t="n">
        <v>0.00095</v>
      </c>
      <c r="T128" s="13" t="n">
        <v>0.03082</v>
      </c>
      <c r="U128" s="6" t="n">
        <v>1</v>
      </c>
      <c r="V128" s="7" t="s">
        <v>39</v>
      </c>
    </row>
    <row r="129" customFormat="false" ht="29.85" hidden="false" customHeight="false" outlineLevel="0" collapsed="false">
      <c r="A129" s="14" t="n">
        <v>128</v>
      </c>
      <c r="B129" s="14" t="s">
        <v>411</v>
      </c>
      <c r="C129" s="15" t="s">
        <v>134</v>
      </c>
      <c r="D129" s="18" t="s">
        <v>412</v>
      </c>
      <c r="E129" s="14" t="s">
        <v>57</v>
      </c>
      <c r="F129" s="14" t="s">
        <v>57</v>
      </c>
      <c r="G129" s="17" t="n">
        <v>0</v>
      </c>
      <c r="H129" s="18" t="s">
        <v>413</v>
      </c>
      <c r="I129" s="19" t="n">
        <v>0</v>
      </c>
      <c r="J129" s="19" t="n">
        <v>0</v>
      </c>
      <c r="K129" s="19" t="n">
        <v>0</v>
      </c>
      <c r="L129" s="19" t="n">
        <v>0</v>
      </c>
      <c r="M129" s="19" t="n">
        <v>0</v>
      </c>
      <c r="N129" s="19" t="n">
        <v>1</v>
      </c>
      <c r="O129" s="19" t="n">
        <v>1</v>
      </c>
      <c r="P129" s="19" t="n">
        <v>0.11209</v>
      </c>
      <c r="Q129" s="14" t="n">
        <v>2</v>
      </c>
      <c r="R129" s="14" t="n">
        <v>217</v>
      </c>
      <c r="S129" s="20" t="n">
        <v>0</v>
      </c>
      <c r="T129" s="21" t="n">
        <v>0</v>
      </c>
      <c r="U129" s="14" t="n">
        <v>0</v>
      </c>
      <c r="V129" s="15" t="s">
        <v>50</v>
      </c>
    </row>
    <row r="130" customFormat="false" ht="29.85" hidden="false" customHeight="false" outlineLevel="0" collapsed="false">
      <c r="A130" s="6" t="n">
        <v>129</v>
      </c>
      <c r="B130" s="6" t="s">
        <v>414</v>
      </c>
      <c r="C130" s="7" t="s">
        <v>134</v>
      </c>
      <c r="D130" s="8" t="s">
        <v>415</v>
      </c>
      <c r="E130" s="6" t="s">
        <v>57</v>
      </c>
      <c r="F130" s="6" t="s">
        <v>57</v>
      </c>
      <c r="G130" s="9" t="n">
        <v>0</v>
      </c>
      <c r="H130" s="8" t="s">
        <v>289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1</v>
      </c>
      <c r="P130" s="11" t="n">
        <v>0.017</v>
      </c>
      <c r="Q130" s="6" t="n">
        <v>2</v>
      </c>
      <c r="R130" s="6" t="n">
        <v>218</v>
      </c>
      <c r="S130" s="12" t="n">
        <v>0</v>
      </c>
      <c r="T130" s="13" t="n">
        <v>0</v>
      </c>
      <c r="U130" s="6" t="n">
        <v>0</v>
      </c>
      <c r="V130" s="7" t="s">
        <v>50</v>
      </c>
    </row>
    <row r="131" customFormat="false" ht="29.85" hidden="false" customHeight="false" outlineLevel="0" collapsed="false">
      <c r="A131" s="14" t="n">
        <v>130</v>
      </c>
      <c r="B131" s="14" t="s">
        <v>416</v>
      </c>
      <c r="C131" s="15" t="s">
        <v>134</v>
      </c>
      <c r="D131" s="18" t="s">
        <v>417</v>
      </c>
      <c r="E131" s="14" t="s">
        <v>57</v>
      </c>
      <c r="F131" s="14" t="s">
        <v>57</v>
      </c>
      <c r="G131" s="17" t="n">
        <v>0</v>
      </c>
      <c r="H131" s="18" t="s">
        <v>418</v>
      </c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1</v>
      </c>
      <c r="N131" s="19" t="n">
        <v>1</v>
      </c>
      <c r="O131" s="19" t="n">
        <v>1</v>
      </c>
      <c r="P131" s="19" t="n">
        <v>0.49282</v>
      </c>
      <c r="Q131" s="14" t="n">
        <v>2</v>
      </c>
      <c r="R131" s="14" t="n">
        <v>153</v>
      </c>
      <c r="S131" s="20" t="n">
        <v>0.00177</v>
      </c>
      <c r="T131" s="21" t="n">
        <v>0.05757</v>
      </c>
      <c r="U131" s="14" t="n">
        <v>2</v>
      </c>
      <c r="V131" s="15" t="s">
        <v>39</v>
      </c>
    </row>
    <row r="132" customFormat="false" ht="29.85" hidden="false" customHeight="false" outlineLevel="0" collapsed="false">
      <c r="A132" s="6" t="n">
        <v>131</v>
      </c>
      <c r="B132" s="6" t="s">
        <v>419</v>
      </c>
      <c r="C132" s="7" t="s">
        <v>134</v>
      </c>
      <c r="D132" s="8" t="s">
        <v>420</v>
      </c>
      <c r="E132" s="6" t="s">
        <v>57</v>
      </c>
      <c r="F132" s="6" t="s">
        <v>57</v>
      </c>
      <c r="G132" s="9" t="n">
        <v>0</v>
      </c>
      <c r="H132" s="8" t="s">
        <v>421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1</v>
      </c>
      <c r="O132" s="11" t="n">
        <v>1</v>
      </c>
      <c r="P132" s="11" t="n">
        <v>0.18627</v>
      </c>
      <c r="Q132" s="6" t="n">
        <v>2</v>
      </c>
      <c r="R132" s="6" t="n">
        <v>158</v>
      </c>
      <c r="S132" s="12" t="n">
        <v>0.00134</v>
      </c>
      <c r="T132" s="13" t="n">
        <v>0.04373</v>
      </c>
      <c r="U132" s="6" t="n">
        <v>1</v>
      </c>
      <c r="V132" s="7" t="s">
        <v>39</v>
      </c>
    </row>
    <row r="133" customFormat="false" ht="29.85" hidden="false" customHeight="false" outlineLevel="0" collapsed="false">
      <c r="A133" s="14" t="n">
        <v>132</v>
      </c>
      <c r="B133" s="14" t="s">
        <v>422</v>
      </c>
      <c r="C133" s="15" t="s">
        <v>134</v>
      </c>
      <c r="D133" s="18" t="s">
        <v>423</v>
      </c>
      <c r="E133" s="14" t="s">
        <v>57</v>
      </c>
      <c r="F133" s="14" t="s">
        <v>57</v>
      </c>
      <c r="G133" s="17" t="n">
        <v>0</v>
      </c>
      <c r="H133" s="18" t="s">
        <v>424</v>
      </c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1</v>
      </c>
      <c r="N133" s="19" t="n">
        <v>1</v>
      </c>
      <c r="O133" s="19" t="n">
        <v>1</v>
      </c>
      <c r="P133" s="19" t="n">
        <v>0.48482</v>
      </c>
      <c r="Q133" s="14" t="n">
        <v>2</v>
      </c>
      <c r="R133" s="14" t="n">
        <v>182</v>
      </c>
      <c r="S133" s="20" t="n">
        <v>0.0005</v>
      </c>
      <c r="T133" s="21" t="n">
        <v>0.01624</v>
      </c>
      <c r="U133" s="14" t="n">
        <v>1</v>
      </c>
      <c r="V133" s="15" t="s">
        <v>39</v>
      </c>
    </row>
    <row r="134" customFormat="false" ht="29.85" hidden="false" customHeight="false" outlineLevel="0" collapsed="false">
      <c r="A134" s="6" t="n">
        <v>133</v>
      </c>
      <c r="B134" s="6" t="s">
        <v>425</v>
      </c>
      <c r="C134" s="7" t="s">
        <v>134</v>
      </c>
      <c r="D134" s="8" t="s">
        <v>426</v>
      </c>
      <c r="E134" s="6" t="s">
        <v>57</v>
      </c>
      <c r="F134" s="6" t="s">
        <v>57</v>
      </c>
      <c r="G134" s="9" t="n">
        <v>0</v>
      </c>
      <c r="H134" s="8" t="s">
        <v>427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1</v>
      </c>
      <c r="N134" s="11" t="n">
        <v>1</v>
      </c>
      <c r="O134" s="11" t="n">
        <v>1</v>
      </c>
      <c r="P134" s="11" t="n">
        <v>0.35982</v>
      </c>
      <c r="Q134" s="6" t="n">
        <v>2</v>
      </c>
      <c r="R134" s="6" t="n">
        <v>241</v>
      </c>
      <c r="S134" s="12" t="n">
        <v>0</v>
      </c>
      <c r="T134" s="13" t="n">
        <v>0</v>
      </c>
      <c r="U134" s="6" t="n">
        <v>0</v>
      </c>
      <c r="V134" s="7" t="s">
        <v>50</v>
      </c>
    </row>
    <row r="135" customFormat="false" ht="29.85" hidden="false" customHeight="false" outlineLevel="0" collapsed="false">
      <c r="A135" s="14" t="n">
        <v>134</v>
      </c>
      <c r="B135" s="14" t="s">
        <v>428</v>
      </c>
      <c r="C135" s="15" t="s">
        <v>134</v>
      </c>
      <c r="D135" s="18" t="s">
        <v>429</v>
      </c>
      <c r="E135" s="14" t="s">
        <v>57</v>
      </c>
      <c r="F135" s="14" t="s">
        <v>57</v>
      </c>
      <c r="G135" s="17" t="n">
        <v>0</v>
      </c>
      <c r="H135" s="18" t="s">
        <v>430</v>
      </c>
      <c r="I135" s="19" t="n">
        <v>0</v>
      </c>
      <c r="J135" s="19" t="n">
        <v>0</v>
      </c>
      <c r="K135" s="19" t="n">
        <v>0</v>
      </c>
      <c r="L135" s="19" t="n">
        <v>0</v>
      </c>
      <c r="M135" s="19" t="n">
        <v>1</v>
      </c>
      <c r="N135" s="19" t="n">
        <v>1</v>
      </c>
      <c r="O135" s="19" t="n">
        <v>1</v>
      </c>
      <c r="P135" s="19" t="n">
        <v>0.27118</v>
      </c>
      <c r="Q135" s="14" t="n">
        <v>2</v>
      </c>
      <c r="R135" s="14" t="n">
        <v>145</v>
      </c>
      <c r="S135" s="20" t="n">
        <v>0.0022</v>
      </c>
      <c r="T135" s="21" t="n">
        <v>0.07157</v>
      </c>
      <c r="U135" s="14" t="n">
        <v>3</v>
      </c>
      <c r="V135" s="15" t="s">
        <v>39</v>
      </c>
    </row>
    <row r="136" customFormat="false" ht="29.85" hidden="false" customHeight="false" outlineLevel="0" collapsed="false">
      <c r="A136" s="6" t="n">
        <v>135</v>
      </c>
      <c r="B136" s="6" t="s">
        <v>431</v>
      </c>
      <c r="C136" s="7" t="s">
        <v>134</v>
      </c>
      <c r="D136" s="8" t="s">
        <v>432</v>
      </c>
      <c r="E136" s="6" t="s">
        <v>57</v>
      </c>
      <c r="F136" s="6" t="s">
        <v>57</v>
      </c>
      <c r="G136" s="9" t="n">
        <v>0</v>
      </c>
      <c r="H136" s="8" t="s">
        <v>433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1</v>
      </c>
      <c r="N136" s="11" t="n">
        <v>1</v>
      </c>
      <c r="O136" s="11" t="n">
        <v>1</v>
      </c>
      <c r="P136" s="11" t="n">
        <v>0.30491</v>
      </c>
      <c r="Q136" s="6" t="n">
        <v>2</v>
      </c>
      <c r="R136" s="6" t="n">
        <v>154</v>
      </c>
      <c r="S136" s="12" t="n">
        <v>0.00171</v>
      </c>
      <c r="T136" s="13" t="n">
        <v>0.05587</v>
      </c>
      <c r="U136" s="6" t="n">
        <v>2</v>
      </c>
      <c r="V136" s="7" t="s">
        <v>39</v>
      </c>
    </row>
    <row r="137" customFormat="false" ht="29.85" hidden="false" customHeight="false" outlineLevel="0" collapsed="false">
      <c r="A137" s="14" t="n">
        <v>136</v>
      </c>
      <c r="B137" s="14" t="s">
        <v>434</v>
      </c>
      <c r="C137" s="15" t="s">
        <v>134</v>
      </c>
      <c r="D137" s="18" t="s">
        <v>435</v>
      </c>
      <c r="E137" s="14" t="s">
        <v>57</v>
      </c>
      <c r="F137" s="14" t="s">
        <v>57</v>
      </c>
      <c r="G137" s="17" t="n">
        <v>0</v>
      </c>
      <c r="H137" s="18" t="s">
        <v>242</v>
      </c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0</v>
      </c>
      <c r="O137" s="19" t="n">
        <v>1</v>
      </c>
      <c r="P137" s="19" t="n">
        <v>0.02245</v>
      </c>
      <c r="Q137" s="14" t="n">
        <v>2</v>
      </c>
      <c r="R137" s="14" t="n">
        <v>238</v>
      </c>
      <c r="S137" s="20" t="n">
        <v>0</v>
      </c>
      <c r="T137" s="21" t="n">
        <v>0</v>
      </c>
      <c r="U137" s="14" t="n">
        <v>0</v>
      </c>
      <c r="V137" s="15" t="s">
        <v>50</v>
      </c>
    </row>
    <row r="138" customFormat="false" ht="29.85" hidden="false" customHeight="false" outlineLevel="0" collapsed="false">
      <c r="A138" s="6" t="n">
        <v>137</v>
      </c>
      <c r="B138" s="6" t="s">
        <v>436</v>
      </c>
      <c r="C138" s="7" t="s">
        <v>134</v>
      </c>
      <c r="D138" s="8" t="s">
        <v>437</v>
      </c>
      <c r="E138" s="6" t="s">
        <v>57</v>
      </c>
      <c r="F138" s="6" t="s">
        <v>57</v>
      </c>
      <c r="G138" s="9" t="n">
        <v>0</v>
      </c>
      <c r="H138" s="8" t="s">
        <v>438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1</v>
      </c>
      <c r="O138" s="11" t="n">
        <v>1</v>
      </c>
      <c r="P138" s="11" t="n">
        <v>0.11873</v>
      </c>
      <c r="Q138" s="6" t="n">
        <v>2</v>
      </c>
      <c r="R138" s="6" t="n">
        <v>91</v>
      </c>
      <c r="S138" s="12" t="n">
        <v>0.00808</v>
      </c>
      <c r="T138" s="13" t="n">
        <v>0.26339</v>
      </c>
      <c r="U138" s="6" t="n">
        <v>5</v>
      </c>
      <c r="V138" s="7" t="s">
        <v>39</v>
      </c>
    </row>
    <row r="139" customFormat="false" ht="29.85" hidden="false" customHeight="false" outlineLevel="0" collapsed="false">
      <c r="A139" s="14" t="n">
        <v>138</v>
      </c>
      <c r="B139" s="14" t="s">
        <v>439</v>
      </c>
      <c r="C139" s="15" t="s">
        <v>134</v>
      </c>
      <c r="D139" s="18" t="s">
        <v>440</v>
      </c>
      <c r="E139" s="14" t="s">
        <v>57</v>
      </c>
      <c r="F139" s="14" t="s">
        <v>57</v>
      </c>
      <c r="G139" s="17" t="n">
        <v>0</v>
      </c>
      <c r="H139" s="18" t="s">
        <v>119</v>
      </c>
      <c r="I139" s="19" t="n">
        <v>0</v>
      </c>
      <c r="J139" s="19" t="n">
        <v>0</v>
      </c>
      <c r="K139" s="19" t="n">
        <v>0</v>
      </c>
      <c r="L139" s="19" t="n">
        <v>0</v>
      </c>
      <c r="M139" s="19" t="n">
        <v>0</v>
      </c>
      <c r="N139" s="19" t="n">
        <v>0</v>
      </c>
      <c r="O139" s="19" t="n">
        <v>1</v>
      </c>
      <c r="P139" s="19" t="n">
        <v>0.04418</v>
      </c>
      <c r="Q139" s="14" t="n">
        <v>2</v>
      </c>
      <c r="R139" s="14" t="n">
        <v>239</v>
      </c>
      <c r="S139" s="20" t="n">
        <v>0</v>
      </c>
      <c r="T139" s="21" t="n">
        <v>0</v>
      </c>
      <c r="U139" s="14" t="n">
        <v>0</v>
      </c>
      <c r="V139" s="15" t="s">
        <v>50</v>
      </c>
    </row>
    <row r="140" customFormat="false" ht="29.85" hidden="false" customHeight="false" outlineLevel="0" collapsed="false">
      <c r="A140" s="6" t="n">
        <v>139</v>
      </c>
      <c r="B140" s="6" t="s">
        <v>441</v>
      </c>
      <c r="C140" s="7" t="s">
        <v>134</v>
      </c>
      <c r="D140" s="8" t="s">
        <v>442</v>
      </c>
      <c r="E140" s="6" t="s">
        <v>57</v>
      </c>
      <c r="F140" s="6" t="s">
        <v>57</v>
      </c>
      <c r="G140" s="9" t="n">
        <v>0</v>
      </c>
      <c r="H140" s="8" t="s">
        <v>162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1</v>
      </c>
      <c r="O140" s="11" t="n">
        <v>1</v>
      </c>
      <c r="P140" s="11" t="n">
        <v>0.08336</v>
      </c>
      <c r="Q140" s="6" t="n">
        <v>2</v>
      </c>
      <c r="R140" s="6" t="n">
        <v>117</v>
      </c>
      <c r="S140" s="12" t="n">
        <v>0.0046</v>
      </c>
      <c r="T140" s="13" t="n">
        <v>0.15009</v>
      </c>
      <c r="U140" s="6" t="n">
        <v>5</v>
      </c>
      <c r="V140" s="7" t="s">
        <v>39</v>
      </c>
    </row>
    <row r="141" customFormat="false" ht="29.85" hidden="false" customHeight="false" outlineLevel="0" collapsed="false">
      <c r="A141" s="14" t="n">
        <v>140</v>
      </c>
      <c r="B141" s="14" t="s">
        <v>443</v>
      </c>
      <c r="C141" s="15" t="s">
        <v>134</v>
      </c>
      <c r="D141" s="18" t="s">
        <v>444</v>
      </c>
      <c r="E141" s="14" t="s">
        <v>57</v>
      </c>
      <c r="F141" s="14" t="s">
        <v>57</v>
      </c>
      <c r="G141" s="17" t="n">
        <v>0</v>
      </c>
      <c r="H141" s="18" t="s">
        <v>445</v>
      </c>
      <c r="I141" s="19" t="n">
        <v>0</v>
      </c>
      <c r="J141" s="19" t="n">
        <v>0</v>
      </c>
      <c r="K141" s="19" t="n">
        <v>0</v>
      </c>
      <c r="L141" s="19" t="n">
        <v>0</v>
      </c>
      <c r="M141" s="19" t="n">
        <v>0</v>
      </c>
      <c r="N141" s="19" t="n">
        <v>0</v>
      </c>
      <c r="O141" s="19" t="n">
        <v>1</v>
      </c>
      <c r="P141" s="19" t="n">
        <v>0.02736</v>
      </c>
      <c r="Q141" s="14" t="n">
        <v>2</v>
      </c>
      <c r="R141" s="14" t="n">
        <v>240</v>
      </c>
      <c r="S141" s="20" t="n">
        <v>0</v>
      </c>
      <c r="T141" s="21" t="n">
        <v>0</v>
      </c>
      <c r="U141" s="14" t="n">
        <v>0</v>
      </c>
      <c r="V141" s="15" t="s">
        <v>50</v>
      </c>
    </row>
    <row r="142" customFormat="false" ht="29.85" hidden="false" customHeight="false" outlineLevel="0" collapsed="false">
      <c r="A142" s="6" t="n">
        <v>141</v>
      </c>
      <c r="B142" s="6" t="s">
        <v>446</v>
      </c>
      <c r="C142" s="7" t="s">
        <v>134</v>
      </c>
      <c r="D142" s="8" t="s">
        <v>447</v>
      </c>
      <c r="E142" s="6" t="s">
        <v>57</v>
      </c>
      <c r="F142" s="6" t="s">
        <v>57</v>
      </c>
      <c r="G142" s="9" t="n">
        <v>0</v>
      </c>
      <c r="H142" s="8" t="s">
        <v>283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1</v>
      </c>
      <c r="P142" s="11" t="n">
        <v>0.02273</v>
      </c>
      <c r="Q142" s="6" t="n">
        <v>2</v>
      </c>
      <c r="R142" s="6" t="n">
        <v>237</v>
      </c>
      <c r="S142" s="12" t="n">
        <v>0</v>
      </c>
      <c r="T142" s="13" t="n">
        <v>0</v>
      </c>
      <c r="U142" s="6" t="n">
        <v>0</v>
      </c>
      <c r="V142" s="7" t="s">
        <v>50</v>
      </c>
    </row>
    <row r="143" customFormat="false" ht="29.85" hidden="false" customHeight="false" outlineLevel="0" collapsed="false">
      <c r="A143" s="14" t="n">
        <v>142</v>
      </c>
      <c r="B143" s="14" t="s">
        <v>448</v>
      </c>
      <c r="C143" s="15" t="s">
        <v>134</v>
      </c>
      <c r="D143" s="18" t="s">
        <v>449</v>
      </c>
      <c r="E143" s="14" t="s">
        <v>57</v>
      </c>
      <c r="F143" s="14" t="s">
        <v>57</v>
      </c>
      <c r="G143" s="17" t="n">
        <v>0</v>
      </c>
      <c r="H143" s="18" t="s">
        <v>312</v>
      </c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0</v>
      </c>
      <c r="O143" s="19" t="n">
        <v>1</v>
      </c>
      <c r="P143" s="19" t="n">
        <v>0.01382</v>
      </c>
      <c r="Q143" s="14" t="n">
        <v>2</v>
      </c>
      <c r="R143" s="14" t="n">
        <v>235</v>
      </c>
      <c r="S143" s="20" t="n">
        <v>0</v>
      </c>
      <c r="T143" s="21" t="n">
        <v>0</v>
      </c>
      <c r="U143" s="14" t="n">
        <v>0</v>
      </c>
      <c r="V143" s="15" t="s">
        <v>50</v>
      </c>
    </row>
    <row r="144" customFormat="false" ht="29.85" hidden="false" customHeight="false" outlineLevel="0" collapsed="false">
      <c r="A144" s="6" t="n">
        <v>143</v>
      </c>
      <c r="B144" s="6" t="s">
        <v>450</v>
      </c>
      <c r="C144" s="7" t="s">
        <v>134</v>
      </c>
      <c r="D144" s="8" t="s">
        <v>451</v>
      </c>
      <c r="E144" s="6" t="s">
        <v>57</v>
      </c>
      <c r="F144" s="6" t="s">
        <v>57</v>
      </c>
      <c r="G144" s="9" t="n">
        <v>0</v>
      </c>
      <c r="H144" s="8" t="s">
        <v>116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1</v>
      </c>
      <c r="P144" s="11" t="n">
        <v>0.04173</v>
      </c>
      <c r="Q144" s="6" t="n">
        <v>2</v>
      </c>
      <c r="R144" s="6" t="n">
        <v>161</v>
      </c>
      <c r="S144" s="12" t="n">
        <v>0.00112</v>
      </c>
      <c r="T144" s="13" t="n">
        <v>0.03663</v>
      </c>
      <c r="U144" s="6" t="n">
        <v>2</v>
      </c>
      <c r="V144" s="7" t="s">
        <v>39</v>
      </c>
    </row>
    <row r="145" customFormat="false" ht="29.85" hidden="false" customHeight="false" outlineLevel="0" collapsed="false">
      <c r="A145" s="14" t="n">
        <v>144</v>
      </c>
      <c r="B145" s="14" t="s">
        <v>452</v>
      </c>
      <c r="C145" s="15" t="s">
        <v>134</v>
      </c>
      <c r="D145" s="18" t="s">
        <v>453</v>
      </c>
      <c r="E145" s="14" t="s">
        <v>57</v>
      </c>
      <c r="F145" s="14" t="s">
        <v>57</v>
      </c>
      <c r="G145" s="17" t="n">
        <v>0</v>
      </c>
      <c r="H145" s="18" t="s">
        <v>298</v>
      </c>
      <c r="I145" s="19" t="n">
        <v>0</v>
      </c>
      <c r="J145" s="19" t="n">
        <v>0</v>
      </c>
      <c r="K145" s="19" t="n">
        <v>0</v>
      </c>
      <c r="L145" s="19" t="n">
        <v>0</v>
      </c>
      <c r="M145" s="19" t="n">
        <v>0</v>
      </c>
      <c r="N145" s="19" t="n">
        <v>0</v>
      </c>
      <c r="O145" s="19" t="n">
        <v>1</v>
      </c>
      <c r="P145" s="19" t="n">
        <v>0.01318</v>
      </c>
      <c r="Q145" s="14" t="n">
        <v>2</v>
      </c>
      <c r="R145" s="14" t="n">
        <v>244</v>
      </c>
      <c r="S145" s="20" t="n">
        <v>0</v>
      </c>
      <c r="T145" s="21" t="n">
        <v>0</v>
      </c>
      <c r="U145" s="14" t="n">
        <v>0</v>
      </c>
      <c r="V145" s="15" t="s">
        <v>50</v>
      </c>
    </row>
    <row r="146" customFormat="false" ht="29.85" hidden="false" customHeight="false" outlineLevel="0" collapsed="false">
      <c r="A146" s="6" t="n">
        <v>145</v>
      </c>
      <c r="B146" s="6" t="s">
        <v>454</v>
      </c>
      <c r="C146" s="7" t="s">
        <v>134</v>
      </c>
      <c r="D146" s="8" t="s">
        <v>455</v>
      </c>
      <c r="E146" s="6" t="s">
        <v>57</v>
      </c>
      <c r="F146" s="6" t="s">
        <v>57</v>
      </c>
      <c r="G146" s="9" t="n">
        <v>0</v>
      </c>
      <c r="H146" s="8" t="s">
        <v>286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1</v>
      </c>
      <c r="O146" s="11" t="n">
        <v>1</v>
      </c>
      <c r="P146" s="11" t="n">
        <v>0.13618</v>
      </c>
      <c r="Q146" s="6" t="n">
        <v>2</v>
      </c>
      <c r="R146" s="6" t="n">
        <v>138</v>
      </c>
      <c r="S146" s="12" t="n">
        <v>0.00306</v>
      </c>
      <c r="T146" s="13" t="n">
        <v>0.09964</v>
      </c>
      <c r="U146" s="6" t="n">
        <v>3</v>
      </c>
      <c r="V146" s="7" t="s">
        <v>39</v>
      </c>
    </row>
    <row r="147" customFormat="false" ht="29.85" hidden="false" customHeight="false" outlineLevel="0" collapsed="false">
      <c r="A147" s="14" t="n">
        <v>146</v>
      </c>
      <c r="B147" s="14" t="s">
        <v>456</v>
      </c>
      <c r="C147" s="15" t="s">
        <v>134</v>
      </c>
      <c r="D147" s="18" t="s">
        <v>457</v>
      </c>
      <c r="E147" s="14" t="s">
        <v>57</v>
      </c>
      <c r="F147" s="14" t="s">
        <v>57</v>
      </c>
      <c r="G147" s="17" t="n">
        <v>0</v>
      </c>
      <c r="H147" s="18" t="s">
        <v>283</v>
      </c>
      <c r="I147" s="19" t="n">
        <v>0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  <c r="O147" s="19" t="n">
        <v>1</v>
      </c>
      <c r="P147" s="19" t="n">
        <v>0.023</v>
      </c>
      <c r="Q147" s="14" t="n">
        <v>2</v>
      </c>
      <c r="R147" s="14" t="n">
        <v>242</v>
      </c>
      <c r="S147" s="20" t="n">
        <v>0</v>
      </c>
      <c r="T147" s="21" t="n">
        <v>0</v>
      </c>
      <c r="U147" s="14" t="n">
        <v>0</v>
      </c>
      <c r="V147" s="15" t="s">
        <v>50</v>
      </c>
    </row>
    <row r="148" customFormat="false" ht="29.85" hidden="false" customHeight="false" outlineLevel="0" collapsed="false">
      <c r="A148" s="6" t="n">
        <v>147</v>
      </c>
      <c r="B148" s="6" t="s">
        <v>458</v>
      </c>
      <c r="C148" s="7" t="s">
        <v>134</v>
      </c>
      <c r="D148" s="8" t="s">
        <v>459</v>
      </c>
      <c r="E148" s="6" t="s">
        <v>57</v>
      </c>
      <c r="F148" s="6" t="s">
        <v>57</v>
      </c>
      <c r="G148" s="9" t="n">
        <v>0</v>
      </c>
      <c r="H148" s="8" t="s">
        <v>312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1</v>
      </c>
      <c r="P148" s="11" t="n">
        <v>0.01364</v>
      </c>
      <c r="Q148" s="6" t="n">
        <v>2</v>
      </c>
      <c r="R148" s="6" t="n">
        <v>236</v>
      </c>
      <c r="S148" s="12" t="n">
        <v>0</v>
      </c>
      <c r="T148" s="13" t="n">
        <v>0</v>
      </c>
      <c r="U148" s="6" t="n">
        <v>0</v>
      </c>
      <c r="V148" s="7" t="s">
        <v>50</v>
      </c>
    </row>
    <row r="149" customFormat="false" ht="29.85" hidden="false" customHeight="false" outlineLevel="0" collapsed="false">
      <c r="A149" s="14" t="n">
        <v>148</v>
      </c>
      <c r="B149" s="14" t="s">
        <v>460</v>
      </c>
      <c r="C149" s="15" t="s">
        <v>134</v>
      </c>
      <c r="D149" s="18" t="s">
        <v>461</v>
      </c>
      <c r="E149" s="14" t="s">
        <v>57</v>
      </c>
      <c r="F149" s="14" t="s">
        <v>57</v>
      </c>
      <c r="G149" s="17" t="n">
        <v>0</v>
      </c>
      <c r="H149" s="18" t="s">
        <v>286</v>
      </c>
      <c r="I149" s="19" t="n">
        <v>0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1</v>
      </c>
      <c r="O149" s="19" t="n">
        <v>1</v>
      </c>
      <c r="P149" s="19" t="n">
        <v>0.136</v>
      </c>
      <c r="Q149" s="14" t="n">
        <v>2</v>
      </c>
      <c r="R149" s="14" t="n">
        <v>122</v>
      </c>
      <c r="S149" s="20" t="n">
        <v>0.00418</v>
      </c>
      <c r="T149" s="21" t="n">
        <v>0.13614</v>
      </c>
      <c r="U149" s="14" t="n">
        <v>3</v>
      </c>
      <c r="V149" s="15" t="s">
        <v>39</v>
      </c>
    </row>
    <row r="150" customFormat="false" ht="29.85" hidden="false" customHeight="false" outlineLevel="0" collapsed="false">
      <c r="A150" s="6" t="n">
        <v>149</v>
      </c>
      <c r="B150" s="6" t="s">
        <v>462</v>
      </c>
      <c r="C150" s="7" t="s">
        <v>134</v>
      </c>
      <c r="D150" s="8" t="s">
        <v>463</v>
      </c>
      <c r="E150" s="6" t="s">
        <v>57</v>
      </c>
      <c r="F150" s="6" t="s">
        <v>57</v>
      </c>
      <c r="G150" s="9" t="n">
        <v>0</v>
      </c>
      <c r="H150" s="8" t="s">
        <v>298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1</v>
      </c>
      <c r="P150" s="11" t="n">
        <v>0.01309</v>
      </c>
      <c r="Q150" s="6" t="n">
        <v>2</v>
      </c>
      <c r="R150" s="6" t="n">
        <v>246</v>
      </c>
      <c r="S150" s="12" t="n">
        <v>0</v>
      </c>
      <c r="T150" s="13" t="n">
        <v>0</v>
      </c>
      <c r="U150" s="6" t="n">
        <v>0</v>
      </c>
      <c r="V150" s="7" t="s">
        <v>50</v>
      </c>
    </row>
    <row r="151" customFormat="false" ht="29.85" hidden="false" customHeight="false" outlineLevel="0" collapsed="false">
      <c r="A151" s="14" t="n">
        <v>150</v>
      </c>
      <c r="B151" s="14" t="s">
        <v>464</v>
      </c>
      <c r="C151" s="15" t="s">
        <v>134</v>
      </c>
      <c r="D151" s="18" t="s">
        <v>465</v>
      </c>
      <c r="E151" s="14" t="s">
        <v>57</v>
      </c>
      <c r="F151" s="14" t="s">
        <v>57</v>
      </c>
      <c r="G151" s="17" t="n">
        <v>0</v>
      </c>
      <c r="H151" s="18" t="s">
        <v>162</v>
      </c>
      <c r="I151" s="19" t="n">
        <v>0</v>
      </c>
      <c r="J151" s="19" t="n">
        <v>0</v>
      </c>
      <c r="K151" s="19" t="n">
        <v>0</v>
      </c>
      <c r="L151" s="19" t="n">
        <v>0</v>
      </c>
      <c r="M151" s="19" t="n">
        <v>0</v>
      </c>
      <c r="N151" s="19" t="n">
        <v>1</v>
      </c>
      <c r="O151" s="19" t="n">
        <v>1</v>
      </c>
      <c r="P151" s="19" t="n">
        <v>0.08255</v>
      </c>
      <c r="Q151" s="14" t="n">
        <v>2</v>
      </c>
      <c r="R151" s="14" t="n">
        <v>243</v>
      </c>
      <c r="S151" s="20" t="n">
        <v>0</v>
      </c>
      <c r="T151" s="21" t="n">
        <v>0</v>
      </c>
      <c r="U151" s="14" t="n">
        <v>0</v>
      </c>
      <c r="V151" s="15" t="s">
        <v>50</v>
      </c>
    </row>
    <row r="152" customFormat="false" ht="29.85" hidden="false" customHeight="false" outlineLevel="0" collapsed="false">
      <c r="A152" s="6" t="n">
        <v>151</v>
      </c>
      <c r="B152" s="6" t="s">
        <v>466</v>
      </c>
      <c r="C152" s="7" t="s">
        <v>134</v>
      </c>
      <c r="D152" s="8" t="s">
        <v>467</v>
      </c>
      <c r="E152" s="6" t="s">
        <v>57</v>
      </c>
      <c r="F152" s="6" t="s">
        <v>57</v>
      </c>
      <c r="G152" s="9" t="n">
        <v>0</v>
      </c>
      <c r="H152" s="8" t="s">
        <v>468</v>
      </c>
      <c r="I152" s="11" t="n">
        <v>0</v>
      </c>
      <c r="J152" s="11" t="n">
        <v>0</v>
      </c>
      <c r="K152" s="11" t="n">
        <v>1</v>
      </c>
      <c r="L152" s="11" t="n">
        <v>1</v>
      </c>
      <c r="M152" s="11" t="n">
        <v>1</v>
      </c>
      <c r="N152" s="11" t="n">
        <v>1</v>
      </c>
      <c r="O152" s="11" t="n">
        <v>1</v>
      </c>
      <c r="P152" s="11" t="n">
        <v>0.926</v>
      </c>
      <c r="Q152" s="6" t="n">
        <v>2</v>
      </c>
      <c r="R152" s="6" t="n">
        <v>174</v>
      </c>
      <c r="S152" s="12" t="n">
        <v>0.00062</v>
      </c>
      <c r="T152" s="13" t="n">
        <v>0.02012</v>
      </c>
      <c r="U152" s="6" t="n">
        <v>1</v>
      </c>
      <c r="V152" s="7" t="s">
        <v>39</v>
      </c>
    </row>
    <row r="153" customFormat="false" ht="29.85" hidden="false" customHeight="false" outlineLevel="0" collapsed="false">
      <c r="A153" s="14" t="n">
        <v>152</v>
      </c>
      <c r="B153" s="14" t="s">
        <v>469</v>
      </c>
      <c r="C153" s="15" t="s">
        <v>134</v>
      </c>
      <c r="D153" s="18" t="s">
        <v>470</v>
      </c>
      <c r="E153" s="14" t="s">
        <v>57</v>
      </c>
      <c r="F153" s="14" t="s">
        <v>57</v>
      </c>
      <c r="G153" s="17" t="n">
        <v>0</v>
      </c>
      <c r="H153" s="18" t="s">
        <v>471</v>
      </c>
      <c r="I153" s="19" t="n">
        <v>0</v>
      </c>
      <c r="J153" s="19" t="n">
        <v>0</v>
      </c>
      <c r="K153" s="19" t="n">
        <v>1</v>
      </c>
      <c r="L153" s="19" t="n">
        <v>1</v>
      </c>
      <c r="M153" s="19" t="n">
        <v>1</v>
      </c>
      <c r="N153" s="19" t="n">
        <v>1</v>
      </c>
      <c r="O153" s="19" t="n">
        <v>1</v>
      </c>
      <c r="P153" s="19" t="n">
        <v>0.78882</v>
      </c>
      <c r="Q153" s="14" t="n">
        <v>2</v>
      </c>
      <c r="R153" s="14" t="n">
        <v>22</v>
      </c>
      <c r="S153" s="20" t="n">
        <v>0.03657</v>
      </c>
      <c r="T153" s="21" t="n">
        <v>1.19187</v>
      </c>
      <c r="U153" s="14" t="n">
        <v>15</v>
      </c>
      <c r="V153" s="15" t="s">
        <v>39</v>
      </c>
    </row>
    <row r="154" customFormat="false" ht="15" hidden="false" customHeight="false" outlineLevel="0" collapsed="false">
      <c r="A154" s="6" t="n">
        <v>153</v>
      </c>
      <c r="B154" s="6" t="s">
        <v>472</v>
      </c>
      <c r="C154" s="7" t="s">
        <v>63</v>
      </c>
      <c r="D154" s="10" t="s">
        <v>473</v>
      </c>
      <c r="E154" s="7" t="s">
        <v>36</v>
      </c>
      <c r="F154" s="6" t="s">
        <v>65</v>
      </c>
      <c r="G154" s="9" t="n">
        <v>0</v>
      </c>
      <c r="H154" s="10" t="s">
        <v>474</v>
      </c>
      <c r="I154" s="11" t="n">
        <v>4.5</v>
      </c>
      <c r="J154" s="11" t="n">
        <v>6.62</v>
      </c>
      <c r="K154" s="11" t="n">
        <v>11.33333</v>
      </c>
      <c r="L154" s="11" t="n">
        <v>16.5</v>
      </c>
      <c r="M154" s="11" t="n">
        <v>25.66667</v>
      </c>
      <c r="N154" s="11" t="n">
        <v>60.29524</v>
      </c>
      <c r="O154" s="11" t="n">
        <v>100.75</v>
      </c>
      <c r="P154" s="11" t="n">
        <v>22.35532</v>
      </c>
      <c r="Q154" s="6" t="n">
        <v>1241</v>
      </c>
      <c r="R154" s="6" t="n">
        <v>69</v>
      </c>
      <c r="S154" s="12" t="n">
        <v>0.01217</v>
      </c>
      <c r="T154" s="13" t="n">
        <v>0.39682</v>
      </c>
      <c r="U154" s="6" t="n">
        <v>21</v>
      </c>
      <c r="V154" s="7" t="s">
        <v>39</v>
      </c>
    </row>
    <row r="155" customFormat="false" ht="15" hidden="false" customHeight="false" outlineLevel="0" collapsed="false">
      <c r="A155" s="14" t="n">
        <v>154</v>
      </c>
      <c r="B155" s="14" t="s">
        <v>475</v>
      </c>
      <c r="C155" s="15" t="s">
        <v>63</v>
      </c>
      <c r="D155" s="16" t="s">
        <v>476</v>
      </c>
      <c r="E155" s="15" t="s">
        <v>36</v>
      </c>
      <c r="F155" s="14" t="s">
        <v>65</v>
      </c>
      <c r="G155" s="17" t="n">
        <v>0</v>
      </c>
      <c r="H155" s="16" t="s">
        <v>477</v>
      </c>
      <c r="I155" s="19" t="n">
        <v>3</v>
      </c>
      <c r="J155" s="19" t="n">
        <v>5</v>
      </c>
      <c r="K155" s="19" t="n">
        <v>10</v>
      </c>
      <c r="L155" s="19" t="n">
        <v>14</v>
      </c>
      <c r="M155" s="19" t="n">
        <v>22</v>
      </c>
      <c r="N155" s="19" t="n">
        <v>53</v>
      </c>
      <c r="O155" s="19" t="n">
        <v>91</v>
      </c>
      <c r="P155" s="19" t="n">
        <v>19.30322</v>
      </c>
      <c r="Q155" s="14" t="n">
        <v>142</v>
      </c>
      <c r="R155" s="14" t="n">
        <v>130</v>
      </c>
      <c r="S155" s="20" t="n">
        <v>0.00357</v>
      </c>
      <c r="T155" s="21" t="n">
        <v>0.11638</v>
      </c>
      <c r="U155" s="14" t="n">
        <v>10</v>
      </c>
      <c r="V155" s="15" t="s">
        <v>39</v>
      </c>
    </row>
    <row r="156" customFormat="false" ht="15" hidden="false" customHeight="false" outlineLevel="0" collapsed="false">
      <c r="A156" s="6" t="n">
        <v>155</v>
      </c>
      <c r="B156" s="6" t="s">
        <v>478</v>
      </c>
      <c r="C156" s="7" t="s">
        <v>63</v>
      </c>
      <c r="D156" s="10" t="s">
        <v>479</v>
      </c>
      <c r="E156" s="7" t="s">
        <v>36</v>
      </c>
      <c r="F156" s="6" t="s">
        <v>65</v>
      </c>
      <c r="G156" s="9" t="n">
        <v>0</v>
      </c>
      <c r="H156" s="10" t="s">
        <v>480</v>
      </c>
      <c r="I156" s="11" t="n">
        <v>5</v>
      </c>
      <c r="J156" s="11" t="n">
        <v>8</v>
      </c>
      <c r="K156" s="11" t="n">
        <v>13</v>
      </c>
      <c r="L156" s="11" t="n">
        <v>19</v>
      </c>
      <c r="M156" s="11" t="n">
        <v>29</v>
      </c>
      <c r="N156" s="11" t="n">
        <v>69</v>
      </c>
      <c r="O156" s="11" t="n">
        <v>111.04</v>
      </c>
      <c r="P156" s="11" t="n">
        <v>25.52505</v>
      </c>
      <c r="Q156" s="6" t="n">
        <v>172</v>
      </c>
      <c r="R156" s="6" t="n">
        <v>131</v>
      </c>
      <c r="S156" s="12" t="n">
        <v>0.00341</v>
      </c>
      <c r="T156" s="13" t="n">
        <v>0.11106</v>
      </c>
      <c r="U156" s="6" t="n">
        <v>6</v>
      </c>
      <c r="V156" s="7" t="s">
        <v>39</v>
      </c>
    </row>
    <row r="157" customFormat="false" ht="15" hidden="false" customHeight="false" outlineLevel="0" collapsed="false">
      <c r="A157" s="14" t="n">
        <v>156</v>
      </c>
      <c r="B157" s="14" t="s">
        <v>481</v>
      </c>
      <c r="C157" s="15" t="s">
        <v>63</v>
      </c>
      <c r="D157" s="16" t="s">
        <v>482</v>
      </c>
      <c r="E157" s="15" t="s">
        <v>36</v>
      </c>
      <c r="F157" s="14" t="s">
        <v>65</v>
      </c>
      <c r="G157" s="17" t="n">
        <v>0</v>
      </c>
      <c r="H157" s="16" t="s">
        <v>483</v>
      </c>
      <c r="I157" s="19" t="n">
        <v>3</v>
      </c>
      <c r="J157" s="19" t="n">
        <v>6</v>
      </c>
      <c r="K157" s="19" t="n">
        <v>11</v>
      </c>
      <c r="L157" s="19" t="n">
        <v>16</v>
      </c>
      <c r="M157" s="19" t="n">
        <v>25</v>
      </c>
      <c r="N157" s="19" t="n">
        <v>55.2</v>
      </c>
      <c r="O157" s="19" t="n">
        <v>95</v>
      </c>
      <c r="P157" s="19" t="n">
        <v>21.01678</v>
      </c>
      <c r="Q157" s="14" t="n">
        <v>146</v>
      </c>
      <c r="R157" s="14" t="n">
        <v>116</v>
      </c>
      <c r="S157" s="20" t="n">
        <v>0.00468</v>
      </c>
      <c r="T157" s="21" t="n">
        <v>0.1527</v>
      </c>
      <c r="U157" s="14" t="n">
        <v>8</v>
      </c>
      <c r="V157" s="15" t="s">
        <v>39</v>
      </c>
    </row>
    <row r="158" customFormat="false" ht="15" hidden="false" customHeight="false" outlineLevel="0" collapsed="false">
      <c r="A158" s="6" t="n">
        <v>157</v>
      </c>
      <c r="B158" s="6" t="s">
        <v>484</v>
      </c>
      <c r="C158" s="7" t="s">
        <v>63</v>
      </c>
      <c r="D158" s="10" t="s">
        <v>485</v>
      </c>
      <c r="E158" s="7" t="s">
        <v>72</v>
      </c>
      <c r="F158" s="7" t="s">
        <v>486</v>
      </c>
      <c r="G158" s="9" t="n">
        <v>0</v>
      </c>
      <c r="H158" s="10" t="s">
        <v>487</v>
      </c>
      <c r="I158" s="11" t="n">
        <v>2</v>
      </c>
      <c r="J158" s="11" t="n">
        <v>2</v>
      </c>
      <c r="K158" s="11" t="n">
        <v>2</v>
      </c>
      <c r="L158" s="11" t="n">
        <v>3</v>
      </c>
      <c r="M158" s="11" t="n">
        <v>4</v>
      </c>
      <c r="N158" s="11" t="n">
        <v>6</v>
      </c>
      <c r="O158" s="11" t="n">
        <v>9</v>
      </c>
      <c r="P158" s="11" t="n">
        <v>3.45309</v>
      </c>
      <c r="Q158" s="6" t="n">
        <v>18</v>
      </c>
      <c r="R158" s="6" t="n">
        <v>245</v>
      </c>
      <c r="S158" s="12" t="n">
        <v>0</v>
      </c>
      <c r="T158" s="13" t="n">
        <v>0</v>
      </c>
      <c r="U158" s="6" t="n">
        <v>0</v>
      </c>
      <c r="V158" s="7" t="s">
        <v>50</v>
      </c>
    </row>
    <row r="159" customFormat="false" ht="15" hidden="false" customHeight="false" outlineLevel="0" collapsed="false">
      <c r="A159" s="14" t="n">
        <v>158</v>
      </c>
      <c r="B159" s="14" t="s">
        <v>488</v>
      </c>
      <c r="C159" s="15" t="s">
        <v>63</v>
      </c>
      <c r="D159" s="16" t="s">
        <v>489</v>
      </c>
      <c r="E159" s="15" t="s">
        <v>36</v>
      </c>
      <c r="F159" s="14" t="s">
        <v>490</v>
      </c>
      <c r="G159" s="17" t="n">
        <v>0</v>
      </c>
      <c r="H159" s="16" t="s">
        <v>491</v>
      </c>
      <c r="I159" s="19" t="n">
        <v>86.66667</v>
      </c>
      <c r="J159" s="19" t="n">
        <v>94</v>
      </c>
      <c r="K159" s="19" t="n">
        <v>100.75</v>
      </c>
      <c r="L159" s="19" t="n">
        <v>104.33333</v>
      </c>
      <c r="M159" s="19" t="n">
        <v>107.5</v>
      </c>
      <c r="N159" s="19" t="n">
        <v>113.2</v>
      </c>
      <c r="O159" s="19" t="n">
        <v>119.33467</v>
      </c>
      <c r="P159" s="19" t="n">
        <v>104.05725</v>
      </c>
      <c r="Q159" s="14" t="n">
        <v>983</v>
      </c>
      <c r="R159" s="14" t="n">
        <v>79</v>
      </c>
      <c r="S159" s="20" t="n">
        <v>0.01066</v>
      </c>
      <c r="T159" s="21" t="n">
        <v>0.34741</v>
      </c>
      <c r="U159" s="14" t="n">
        <v>24</v>
      </c>
      <c r="V159" s="15" t="s">
        <v>39</v>
      </c>
    </row>
    <row r="160" customFormat="false" ht="15" hidden="false" customHeight="false" outlineLevel="0" collapsed="false">
      <c r="A160" s="6" t="n">
        <v>159</v>
      </c>
      <c r="B160" s="6" t="s">
        <v>492</v>
      </c>
      <c r="C160" s="7" t="s">
        <v>63</v>
      </c>
      <c r="D160" s="10" t="s">
        <v>493</v>
      </c>
      <c r="E160" s="7" t="s">
        <v>36</v>
      </c>
      <c r="F160" s="6" t="s">
        <v>490</v>
      </c>
      <c r="G160" s="9" t="n">
        <v>0</v>
      </c>
      <c r="H160" s="10" t="s">
        <v>494</v>
      </c>
      <c r="I160" s="11" t="n">
        <v>82</v>
      </c>
      <c r="J160" s="11" t="n">
        <v>91</v>
      </c>
      <c r="K160" s="11" t="n">
        <v>98</v>
      </c>
      <c r="L160" s="11" t="n">
        <v>102</v>
      </c>
      <c r="M160" s="11" t="n">
        <v>105</v>
      </c>
      <c r="N160" s="11" t="n">
        <v>110</v>
      </c>
      <c r="O160" s="11" t="n">
        <v>115</v>
      </c>
      <c r="P160" s="11" t="n">
        <v>101.48401</v>
      </c>
      <c r="Q160" s="6" t="n">
        <v>91</v>
      </c>
      <c r="R160" s="6" t="n">
        <v>64</v>
      </c>
      <c r="S160" s="12" t="n">
        <v>0.01307</v>
      </c>
      <c r="T160" s="13" t="n">
        <v>0.426</v>
      </c>
      <c r="U160" s="6" t="n">
        <v>18</v>
      </c>
      <c r="V160" s="7" t="s">
        <v>39</v>
      </c>
    </row>
    <row r="161" customFormat="false" ht="15" hidden="false" customHeight="false" outlineLevel="0" collapsed="false">
      <c r="A161" s="14" t="n">
        <v>160</v>
      </c>
      <c r="B161" s="14" t="s">
        <v>495</v>
      </c>
      <c r="C161" s="15" t="s">
        <v>63</v>
      </c>
      <c r="D161" s="16" t="s">
        <v>496</v>
      </c>
      <c r="E161" s="15" t="s">
        <v>36</v>
      </c>
      <c r="F161" s="14" t="s">
        <v>490</v>
      </c>
      <c r="G161" s="17" t="n">
        <v>0</v>
      </c>
      <c r="H161" s="16" t="s">
        <v>497</v>
      </c>
      <c r="I161" s="19" t="n">
        <v>90</v>
      </c>
      <c r="J161" s="19" t="n">
        <v>96</v>
      </c>
      <c r="K161" s="19" t="n">
        <v>103</v>
      </c>
      <c r="L161" s="19" t="n">
        <v>106</v>
      </c>
      <c r="M161" s="19" t="n">
        <v>110</v>
      </c>
      <c r="N161" s="19" t="n">
        <v>117</v>
      </c>
      <c r="O161" s="19" t="n">
        <v>125</v>
      </c>
      <c r="P161" s="19" t="n">
        <v>106.50776</v>
      </c>
      <c r="Q161" s="14" t="n">
        <v>84</v>
      </c>
      <c r="R161" s="14" t="n">
        <v>107</v>
      </c>
      <c r="S161" s="20" t="n">
        <v>0.00558</v>
      </c>
      <c r="T161" s="21" t="n">
        <v>0.18195</v>
      </c>
      <c r="U161" s="14" t="n">
        <v>12</v>
      </c>
      <c r="V161" s="15" t="s">
        <v>39</v>
      </c>
    </row>
    <row r="162" customFormat="false" ht="15" hidden="false" customHeight="false" outlineLevel="0" collapsed="false">
      <c r="A162" s="6" t="n">
        <v>161</v>
      </c>
      <c r="B162" s="6" t="s">
        <v>498</v>
      </c>
      <c r="C162" s="7" t="s">
        <v>63</v>
      </c>
      <c r="D162" s="10" t="s">
        <v>499</v>
      </c>
      <c r="E162" s="7" t="s">
        <v>36</v>
      </c>
      <c r="F162" s="6" t="s">
        <v>490</v>
      </c>
      <c r="G162" s="9" t="n">
        <v>0</v>
      </c>
      <c r="H162" s="10" t="s">
        <v>500</v>
      </c>
      <c r="I162" s="11" t="n">
        <v>87</v>
      </c>
      <c r="J162" s="11" t="n">
        <v>94</v>
      </c>
      <c r="K162" s="11" t="n">
        <v>101</v>
      </c>
      <c r="L162" s="11" t="n">
        <v>104</v>
      </c>
      <c r="M162" s="11" t="n">
        <v>108</v>
      </c>
      <c r="N162" s="11" t="n">
        <v>115</v>
      </c>
      <c r="O162" s="11" t="n">
        <v>122</v>
      </c>
      <c r="P162" s="11" t="n">
        <v>104.28616</v>
      </c>
      <c r="Q162" s="6" t="n">
        <v>76</v>
      </c>
      <c r="R162" s="6" t="n">
        <v>65</v>
      </c>
      <c r="S162" s="12" t="n">
        <v>0.01262</v>
      </c>
      <c r="T162" s="13" t="n">
        <v>0.41124</v>
      </c>
      <c r="U162" s="6" t="n">
        <v>22</v>
      </c>
      <c r="V162" s="7" t="s">
        <v>39</v>
      </c>
    </row>
    <row r="163" customFormat="false" ht="15" hidden="false" customHeight="false" outlineLevel="0" collapsed="false">
      <c r="A163" s="14" t="n">
        <v>162</v>
      </c>
      <c r="B163" s="14" t="s">
        <v>501</v>
      </c>
      <c r="C163" s="15" t="s">
        <v>63</v>
      </c>
      <c r="D163" s="16" t="s">
        <v>502</v>
      </c>
      <c r="E163" s="15" t="s">
        <v>72</v>
      </c>
      <c r="F163" s="15" t="s">
        <v>486</v>
      </c>
      <c r="G163" s="17" t="n">
        <v>0</v>
      </c>
      <c r="H163" s="16" t="s">
        <v>503</v>
      </c>
      <c r="I163" s="19" t="n">
        <v>2</v>
      </c>
      <c r="J163" s="19" t="n">
        <v>2</v>
      </c>
      <c r="K163" s="19" t="n">
        <v>2</v>
      </c>
      <c r="L163" s="19" t="n">
        <v>3</v>
      </c>
      <c r="M163" s="19" t="n">
        <v>5</v>
      </c>
      <c r="N163" s="19" t="n">
        <v>8</v>
      </c>
      <c r="O163" s="19" t="n">
        <v>11</v>
      </c>
      <c r="P163" s="19" t="n">
        <v>3.83736</v>
      </c>
      <c r="Q163" s="14" t="n">
        <v>23</v>
      </c>
      <c r="R163" s="14" t="n">
        <v>67</v>
      </c>
      <c r="S163" s="20" t="n">
        <v>0.01229</v>
      </c>
      <c r="T163" s="21" t="n">
        <v>0.40074</v>
      </c>
      <c r="U163" s="14" t="n">
        <v>14</v>
      </c>
      <c r="V163" s="15" t="s">
        <v>39</v>
      </c>
    </row>
    <row r="164" customFormat="false" ht="15" hidden="false" customHeight="false" outlineLevel="0" collapsed="false">
      <c r="A164" s="6" t="n">
        <v>163</v>
      </c>
      <c r="B164" s="6" t="s">
        <v>504</v>
      </c>
      <c r="C164" s="7" t="s">
        <v>63</v>
      </c>
      <c r="D164" s="10" t="s">
        <v>505</v>
      </c>
      <c r="E164" s="7" t="s">
        <v>36</v>
      </c>
      <c r="F164" s="6" t="s">
        <v>65</v>
      </c>
      <c r="G164" s="9" t="n">
        <v>0</v>
      </c>
      <c r="H164" s="10" t="s">
        <v>506</v>
      </c>
      <c r="I164" s="11" t="n">
        <v>0.33333</v>
      </c>
      <c r="J164" s="11" t="n">
        <v>0.46</v>
      </c>
      <c r="K164" s="11" t="n">
        <v>0.65</v>
      </c>
      <c r="L164" s="11" t="n">
        <v>0.83333</v>
      </c>
      <c r="M164" s="11" t="n">
        <v>1.13333</v>
      </c>
      <c r="N164" s="11" t="n">
        <v>2.36667</v>
      </c>
      <c r="O164" s="11" t="n">
        <v>4.75</v>
      </c>
      <c r="P164" s="11" t="n">
        <v>1.05962</v>
      </c>
      <c r="Q164" s="6" t="n">
        <v>1080</v>
      </c>
      <c r="R164" s="6" t="n">
        <v>123</v>
      </c>
      <c r="S164" s="12" t="n">
        <v>0.00414</v>
      </c>
      <c r="T164" s="13" t="n">
        <v>0.13481</v>
      </c>
      <c r="U164" s="6" t="n">
        <v>9</v>
      </c>
      <c r="V164" s="7" t="s">
        <v>39</v>
      </c>
    </row>
    <row r="165" customFormat="false" ht="15" hidden="false" customHeight="false" outlineLevel="0" collapsed="false">
      <c r="A165" s="14" t="n">
        <v>164</v>
      </c>
      <c r="B165" s="14" t="s">
        <v>507</v>
      </c>
      <c r="C165" s="15" t="s">
        <v>63</v>
      </c>
      <c r="D165" s="16" t="s">
        <v>508</v>
      </c>
      <c r="E165" s="15" t="s">
        <v>36</v>
      </c>
      <c r="F165" s="14" t="s">
        <v>65</v>
      </c>
      <c r="G165" s="17" t="n">
        <v>0</v>
      </c>
      <c r="H165" s="16" t="s">
        <v>509</v>
      </c>
      <c r="I165" s="19" t="n">
        <v>0.3</v>
      </c>
      <c r="J165" s="19" t="n">
        <v>0.4</v>
      </c>
      <c r="K165" s="19" t="n">
        <v>0.6</v>
      </c>
      <c r="L165" s="19" t="n">
        <v>0.8</v>
      </c>
      <c r="M165" s="19" t="n">
        <v>1</v>
      </c>
      <c r="N165" s="19" t="n">
        <v>2.1</v>
      </c>
      <c r="O165" s="19" t="n">
        <v>4</v>
      </c>
      <c r="P165" s="19" t="n">
        <v>0.94867</v>
      </c>
      <c r="Q165" s="14" t="n">
        <v>91</v>
      </c>
      <c r="R165" s="14" t="n">
        <v>53</v>
      </c>
      <c r="S165" s="20" t="n">
        <v>0.01659</v>
      </c>
      <c r="T165" s="21" t="n">
        <v>0.5409</v>
      </c>
      <c r="U165" s="14" t="n">
        <v>20</v>
      </c>
      <c r="V165" s="15" t="s">
        <v>39</v>
      </c>
    </row>
    <row r="166" customFormat="false" ht="15" hidden="false" customHeight="false" outlineLevel="0" collapsed="false">
      <c r="A166" s="6" t="n">
        <v>165</v>
      </c>
      <c r="B166" s="6" t="s">
        <v>510</v>
      </c>
      <c r="C166" s="7" t="s">
        <v>63</v>
      </c>
      <c r="D166" s="10" t="s">
        <v>511</v>
      </c>
      <c r="E166" s="7" t="s">
        <v>36</v>
      </c>
      <c r="F166" s="6" t="s">
        <v>65</v>
      </c>
      <c r="G166" s="9" t="n">
        <v>0</v>
      </c>
      <c r="H166" s="10" t="s">
        <v>512</v>
      </c>
      <c r="I166" s="11" t="n">
        <v>0.4</v>
      </c>
      <c r="J166" s="11" t="n">
        <v>0.5</v>
      </c>
      <c r="K166" s="11" t="n">
        <v>0.7</v>
      </c>
      <c r="L166" s="11" t="n">
        <v>0.9</v>
      </c>
      <c r="M166" s="11" t="n">
        <v>1.2</v>
      </c>
      <c r="N166" s="11" t="n">
        <v>2.7</v>
      </c>
      <c r="O166" s="11" t="n">
        <v>5.7</v>
      </c>
      <c r="P166" s="11" t="n">
        <v>1.17812</v>
      </c>
      <c r="Q166" s="6" t="n">
        <v>122</v>
      </c>
      <c r="R166" s="6" t="n">
        <v>142</v>
      </c>
      <c r="S166" s="12" t="n">
        <v>0.00231</v>
      </c>
      <c r="T166" s="13" t="n">
        <v>0.07545</v>
      </c>
      <c r="U166" s="6" t="n">
        <v>3</v>
      </c>
      <c r="V166" s="7" t="s">
        <v>39</v>
      </c>
    </row>
    <row r="167" customFormat="false" ht="15" hidden="false" customHeight="false" outlineLevel="0" collapsed="false">
      <c r="A167" s="14" t="n">
        <v>166</v>
      </c>
      <c r="B167" s="14" t="s">
        <v>513</v>
      </c>
      <c r="C167" s="15" t="s">
        <v>63</v>
      </c>
      <c r="D167" s="16" t="s">
        <v>514</v>
      </c>
      <c r="E167" s="15" t="s">
        <v>36</v>
      </c>
      <c r="F167" s="14" t="s">
        <v>65</v>
      </c>
      <c r="G167" s="17" t="n">
        <v>0</v>
      </c>
      <c r="H167" s="16" t="s">
        <v>515</v>
      </c>
      <c r="I167" s="19" t="n">
        <v>0.3</v>
      </c>
      <c r="J167" s="19" t="n">
        <v>0.4</v>
      </c>
      <c r="K167" s="19" t="n">
        <v>0.6</v>
      </c>
      <c r="L167" s="19" t="n">
        <v>0.8</v>
      </c>
      <c r="M167" s="19" t="n">
        <v>1.1</v>
      </c>
      <c r="N167" s="19" t="n">
        <v>2.1</v>
      </c>
      <c r="O167" s="19" t="n">
        <v>4</v>
      </c>
      <c r="P167" s="19" t="n">
        <v>0.98992</v>
      </c>
      <c r="Q167" s="14" t="n">
        <v>90</v>
      </c>
      <c r="R167" s="14" t="n">
        <v>89</v>
      </c>
      <c r="S167" s="20" t="n">
        <v>0.00866</v>
      </c>
      <c r="T167" s="21" t="n">
        <v>0.28213</v>
      </c>
      <c r="U167" s="14" t="n">
        <v>11</v>
      </c>
      <c r="V167" s="15" t="s">
        <v>39</v>
      </c>
    </row>
    <row r="168" customFormat="false" ht="15" hidden="false" customHeight="false" outlineLevel="0" collapsed="false">
      <c r="A168" s="6" t="n">
        <v>167</v>
      </c>
      <c r="B168" s="6" t="s">
        <v>516</v>
      </c>
      <c r="C168" s="7" t="s">
        <v>63</v>
      </c>
      <c r="D168" s="10" t="s">
        <v>517</v>
      </c>
      <c r="E168" s="7" t="s">
        <v>72</v>
      </c>
      <c r="F168" s="7" t="s">
        <v>486</v>
      </c>
      <c r="G168" s="9" t="n">
        <v>0</v>
      </c>
      <c r="H168" s="10" t="s">
        <v>487</v>
      </c>
      <c r="I168" s="11" t="n">
        <v>2</v>
      </c>
      <c r="J168" s="11" t="n">
        <v>2</v>
      </c>
      <c r="K168" s="11" t="n">
        <v>2</v>
      </c>
      <c r="L168" s="11" t="n">
        <v>3</v>
      </c>
      <c r="M168" s="11" t="n">
        <v>4</v>
      </c>
      <c r="N168" s="11" t="n">
        <v>6</v>
      </c>
      <c r="O168" s="11" t="n">
        <v>9</v>
      </c>
      <c r="P168" s="11" t="n">
        <v>3.46527</v>
      </c>
      <c r="Q168" s="6" t="n">
        <v>17</v>
      </c>
      <c r="R168" s="6" t="n">
        <v>148</v>
      </c>
      <c r="S168" s="12" t="n">
        <v>0.00203</v>
      </c>
      <c r="T168" s="13" t="n">
        <v>0.06608</v>
      </c>
      <c r="U168" s="6" t="n">
        <v>3</v>
      </c>
      <c r="V168" s="7" t="s">
        <v>39</v>
      </c>
    </row>
    <row r="169" customFormat="false" ht="29.85" hidden="false" customHeight="false" outlineLevel="0" collapsed="false">
      <c r="A169" s="14" t="n">
        <v>168</v>
      </c>
      <c r="B169" s="14" t="s">
        <v>518</v>
      </c>
      <c r="C169" s="15" t="s">
        <v>519</v>
      </c>
      <c r="D169" s="16" t="s">
        <v>520</v>
      </c>
      <c r="E169" s="15" t="s">
        <v>36</v>
      </c>
      <c r="F169" s="14" t="s">
        <v>521</v>
      </c>
      <c r="G169" s="17" t="n">
        <v>0.5</v>
      </c>
      <c r="H169" s="16" t="s">
        <v>522</v>
      </c>
      <c r="I169" s="19" t="n">
        <v>44.24896</v>
      </c>
      <c r="J169" s="19" t="n">
        <v>49.73092</v>
      </c>
      <c r="K169" s="19" t="n">
        <v>58.11448</v>
      </c>
      <c r="L169" s="19" t="n">
        <v>64.7302</v>
      </c>
      <c r="M169" s="19" t="n">
        <v>72.81454</v>
      </c>
      <c r="N169" s="19" t="n">
        <v>86.04271</v>
      </c>
      <c r="O169" s="19" t="n">
        <v>95.68199</v>
      </c>
      <c r="P169" s="19" t="n">
        <v>65.9977</v>
      </c>
      <c r="Q169" s="14" t="n">
        <v>10033</v>
      </c>
      <c r="R169" s="14" t="n">
        <v>101</v>
      </c>
      <c r="S169" s="20" t="n">
        <v>0.00642</v>
      </c>
      <c r="T169" s="21" t="n">
        <v>0.20925</v>
      </c>
      <c r="U169" s="14" t="n">
        <v>22</v>
      </c>
      <c r="V169" s="15" t="s">
        <v>39</v>
      </c>
    </row>
    <row r="170" customFormat="false" ht="29.85" hidden="false" customHeight="false" outlineLevel="0" collapsed="false">
      <c r="A170" s="6" t="n">
        <v>169</v>
      </c>
      <c r="B170" s="6" t="s">
        <v>523</v>
      </c>
      <c r="C170" s="7" t="s">
        <v>519</v>
      </c>
      <c r="D170" s="10" t="s">
        <v>524</v>
      </c>
      <c r="E170" s="7" t="s">
        <v>36</v>
      </c>
      <c r="F170" s="6" t="s">
        <v>521</v>
      </c>
      <c r="G170" s="9" t="n">
        <v>0.5</v>
      </c>
      <c r="H170" s="10" t="s">
        <v>525</v>
      </c>
      <c r="I170" s="11" t="n">
        <v>23</v>
      </c>
      <c r="J170" s="11" t="n">
        <v>32</v>
      </c>
      <c r="K170" s="11" t="n">
        <v>41</v>
      </c>
      <c r="L170" s="11" t="n">
        <v>47</v>
      </c>
      <c r="M170" s="11" t="n">
        <v>54</v>
      </c>
      <c r="N170" s="11" t="n">
        <v>66</v>
      </c>
      <c r="O170" s="11" t="n">
        <v>77</v>
      </c>
      <c r="P170" s="11" t="n">
        <v>47.73177</v>
      </c>
      <c r="Q170" s="6" t="n">
        <v>294</v>
      </c>
      <c r="R170" s="6" t="n">
        <v>105</v>
      </c>
      <c r="S170" s="12" t="n">
        <v>0.0059</v>
      </c>
      <c r="T170" s="13" t="n">
        <v>0.19234</v>
      </c>
      <c r="U170" s="6" t="n">
        <v>24</v>
      </c>
      <c r="V170" s="7" t="s">
        <v>39</v>
      </c>
    </row>
    <row r="171" customFormat="false" ht="29.85" hidden="false" customHeight="false" outlineLevel="0" collapsed="false">
      <c r="A171" s="14" t="n">
        <v>170</v>
      </c>
      <c r="B171" s="14" t="s">
        <v>526</v>
      </c>
      <c r="C171" s="15" t="s">
        <v>519</v>
      </c>
      <c r="D171" s="16" t="s">
        <v>527</v>
      </c>
      <c r="E171" s="15" t="s">
        <v>36</v>
      </c>
      <c r="F171" s="14" t="s">
        <v>521</v>
      </c>
      <c r="G171" s="17" t="n">
        <v>0.5</v>
      </c>
      <c r="H171" s="16" t="s">
        <v>528</v>
      </c>
      <c r="I171" s="19" t="n">
        <v>59</v>
      </c>
      <c r="J171" s="19" t="n">
        <v>67</v>
      </c>
      <c r="K171" s="19" t="n">
        <v>80</v>
      </c>
      <c r="L171" s="19" t="n">
        <v>92</v>
      </c>
      <c r="M171" s="19" t="n">
        <v>106</v>
      </c>
      <c r="N171" s="19" t="n">
        <v>131</v>
      </c>
      <c r="O171" s="19" t="n">
        <v>155</v>
      </c>
      <c r="P171" s="19" t="n">
        <v>94.56865</v>
      </c>
      <c r="Q171" s="14" t="n">
        <v>448</v>
      </c>
      <c r="R171" s="14" t="n">
        <v>118</v>
      </c>
      <c r="S171" s="20" t="n">
        <v>0.00458</v>
      </c>
      <c r="T171" s="21" t="n">
        <v>0.14939</v>
      </c>
      <c r="U171" s="14" t="n">
        <v>14</v>
      </c>
      <c r="V171" s="15" t="s">
        <v>39</v>
      </c>
    </row>
    <row r="172" customFormat="false" ht="29.85" hidden="false" customHeight="false" outlineLevel="0" collapsed="false">
      <c r="A172" s="6" t="n">
        <v>171</v>
      </c>
      <c r="B172" s="6" t="s">
        <v>529</v>
      </c>
      <c r="C172" s="7" t="s">
        <v>519</v>
      </c>
      <c r="D172" s="10" t="s">
        <v>530</v>
      </c>
      <c r="E172" s="7" t="s">
        <v>36</v>
      </c>
      <c r="F172" s="6" t="s">
        <v>521</v>
      </c>
      <c r="G172" s="9" t="n">
        <v>0.5</v>
      </c>
      <c r="H172" s="10" t="s">
        <v>531</v>
      </c>
      <c r="I172" s="11" t="n">
        <v>38</v>
      </c>
      <c r="J172" s="11" t="n">
        <v>45</v>
      </c>
      <c r="K172" s="11" t="n">
        <v>56</v>
      </c>
      <c r="L172" s="11" t="n">
        <v>65</v>
      </c>
      <c r="M172" s="11" t="n">
        <v>76</v>
      </c>
      <c r="N172" s="11" t="n">
        <v>94</v>
      </c>
      <c r="O172" s="11" t="n">
        <v>109.55</v>
      </c>
      <c r="P172" s="11" t="n">
        <v>66.72224</v>
      </c>
      <c r="Q172" s="6" t="n">
        <v>264</v>
      </c>
      <c r="R172" s="6" t="n">
        <v>10</v>
      </c>
      <c r="S172" s="12" t="n">
        <v>0.05354</v>
      </c>
      <c r="T172" s="13" t="n">
        <v>1.74532</v>
      </c>
      <c r="U172" s="6" t="n">
        <v>43</v>
      </c>
      <c r="V172" s="7" t="s">
        <v>39</v>
      </c>
    </row>
    <row r="173" customFormat="false" ht="29.85" hidden="false" customHeight="false" outlineLevel="0" collapsed="false">
      <c r="A173" s="14" t="n">
        <v>172</v>
      </c>
      <c r="B173" s="14" t="s">
        <v>532</v>
      </c>
      <c r="C173" s="15" t="s">
        <v>519</v>
      </c>
      <c r="D173" s="16" t="s">
        <v>533</v>
      </c>
      <c r="E173" s="15" t="s">
        <v>72</v>
      </c>
      <c r="F173" s="15" t="s">
        <v>486</v>
      </c>
      <c r="G173" s="17" t="n">
        <v>0</v>
      </c>
      <c r="H173" s="16" t="s">
        <v>534</v>
      </c>
      <c r="I173" s="19" t="n">
        <v>4</v>
      </c>
      <c r="J173" s="19" t="n">
        <v>23</v>
      </c>
      <c r="K173" s="19" t="n">
        <v>41</v>
      </c>
      <c r="L173" s="19" t="n">
        <v>45</v>
      </c>
      <c r="M173" s="19" t="n">
        <v>46</v>
      </c>
      <c r="N173" s="19" t="n">
        <v>48</v>
      </c>
      <c r="O173" s="19" t="n">
        <v>48</v>
      </c>
      <c r="P173" s="19" t="n">
        <v>41.32309</v>
      </c>
      <c r="Q173" s="14" t="n">
        <v>49</v>
      </c>
      <c r="R173" s="14" t="n">
        <v>109</v>
      </c>
      <c r="S173" s="20" t="n">
        <v>0.00526</v>
      </c>
      <c r="T173" s="21" t="n">
        <v>0.17134</v>
      </c>
      <c r="U173" s="14" t="n">
        <v>14</v>
      </c>
      <c r="V173" s="15" t="s">
        <v>39</v>
      </c>
    </row>
    <row r="174" customFormat="false" ht="15" hidden="false" customHeight="false" outlineLevel="0" collapsed="false">
      <c r="A174" s="6" t="n">
        <v>173</v>
      </c>
      <c r="B174" s="6" t="s">
        <v>535</v>
      </c>
      <c r="C174" s="7" t="s">
        <v>87</v>
      </c>
      <c r="D174" s="10" t="s">
        <v>536</v>
      </c>
      <c r="E174" s="7" t="s">
        <v>36</v>
      </c>
      <c r="F174" s="6" t="s">
        <v>93</v>
      </c>
      <c r="G174" s="9" t="n">
        <v>77</v>
      </c>
      <c r="H174" s="10" t="s">
        <v>537</v>
      </c>
      <c r="I174" s="11" t="n">
        <v>4</v>
      </c>
      <c r="J174" s="11" t="n">
        <v>37.65</v>
      </c>
      <c r="K174" s="11" t="n">
        <v>217.25</v>
      </c>
      <c r="L174" s="11" t="n">
        <v>468</v>
      </c>
      <c r="M174" s="11" t="n">
        <v>954</v>
      </c>
      <c r="N174" s="11" t="n">
        <v>2416.75</v>
      </c>
      <c r="O174" s="11" t="n">
        <v>4650.1</v>
      </c>
      <c r="P174" s="11" t="n">
        <v>756.43252</v>
      </c>
      <c r="Q174" s="6" t="n">
        <v>944</v>
      </c>
      <c r="R174" s="6" t="n">
        <v>92</v>
      </c>
      <c r="S174" s="12" t="n">
        <v>0.00796</v>
      </c>
      <c r="T174" s="13" t="n">
        <v>0.25955</v>
      </c>
      <c r="U174" s="6" t="n">
        <v>19</v>
      </c>
      <c r="V174" s="7" t="s">
        <v>39</v>
      </c>
    </row>
    <row r="175" customFormat="false" ht="15" hidden="false" customHeight="false" outlineLevel="0" collapsed="false">
      <c r="A175" s="14" t="n">
        <v>174</v>
      </c>
      <c r="B175" s="14" t="s">
        <v>538</v>
      </c>
      <c r="C175" s="15" t="s">
        <v>87</v>
      </c>
      <c r="D175" s="16" t="s">
        <v>539</v>
      </c>
      <c r="E175" s="15" t="s">
        <v>72</v>
      </c>
      <c r="F175" s="15" t="s">
        <v>486</v>
      </c>
      <c r="G175" s="17" t="n">
        <v>0</v>
      </c>
      <c r="H175" s="16" t="s">
        <v>540</v>
      </c>
      <c r="I175" s="19" t="n">
        <v>0</v>
      </c>
      <c r="J175" s="19" t="n">
        <v>0</v>
      </c>
      <c r="K175" s="19" t="n">
        <v>0</v>
      </c>
      <c r="L175" s="19" t="n">
        <v>0</v>
      </c>
      <c r="M175" s="19" t="n">
        <v>0</v>
      </c>
      <c r="N175" s="19" t="n">
        <v>30</v>
      </c>
      <c r="O175" s="19" t="n">
        <v>43.01</v>
      </c>
      <c r="P175" s="19" t="n">
        <v>3.77245</v>
      </c>
      <c r="Q175" s="14" t="n">
        <v>49</v>
      </c>
      <c r="R175" s="14" t="n">
        <v>165</v>
      </c>
      <c r="S175" s="20" t="n">
        <v>0.00091</v>
      </c>
      <c r="T175" s="21" t="n">
        <v>0.02965</v>
      </c>
      <c r="U175" s="14" t="n">
        <v>3</v>
      </c>
      <c r="V175" s="15" t="s">
        <v>39</v>
      </c>
    </row>
    <row r="176" customFormat="false" ht="15" hidden="false" customHeight="false" outlineLevel="0" collapsed="false">
      <c r="A176" s="6" t="n">
        <v>175</v>
      </c>
      <c r="B176" s="6" t="s">
        <v>541</v>
      </c>
      <c r="C176" s="7" t="s">
        <v>63</v>
      </c>
      <c r="D176" s="10" t="s">
        <v>542</v>
      </c>
      <c r="E176" s="7" t="s">
        <v>36</v>
      </c>
      <c r="F176" s="6" t="s">
        <v>490</v>
      </c>
      <c r="G176" s="9" t="n">
        <v>0</v>
      </c>
      <c r="H176" s="10" t="s">
        <v>543</v>
      </c>
      <c r="I176" s="11" t="n">
        <v>15</v>
      </c>
      <c r="J176" s="11" t="n">
        <v>18</v>
      </c>
      <c r="K176" s="11" t="n">
        <v>21.5</v>
      </c>
      <c r="L176" s="11" t="n">
        <v>23.5</v>
      </c>
      <c r="M176" s="11" t="n">
        <v>25.8</v>
      </c>
      <c r="N176" s="11" t="n">
        <v>31</v>
      </c>
      <c r="O176" s="11" t="n">
        <v>37.6675</v>
      </c>
      <c r="P176" s="11" t="n">
        <v>23.87179</v>
      </c>
      <c r="Q176" s="6" t="n">
        <v>583</v>
      </c>
      <c r="R176" s="6" t="n">
        <v>85</v>
      </c>
      <c r="S176" s="12" t="n">
        <v>0.00962</v>
      </c>
      <c r="T176" s="13" t="n">
        <v>0.3135</v>
      </c>
      <c r="U176" s="6" t="n">
        <v>25</v>
      </c>
      <c r="V176" s="7" t="s">
        <v>39</v>
      </c>
    </row>
    <row r="177" customFormat="false" ht="15" hidden="false" customHeight="false" outlineLevel="0" collapsed="false">
      <c r="A177" s="14" t="n">
        <v>176</v>
      </c>
      <c r="B177" s="14" t="s">
        <v>544</v>
      </c>
      <c r="C177" s="15" t="s">
        <v>63</v>
      </c>
      <c r="D177" s="16" t="s">
        <v>545</v>
      </c>
      <c r="E177" s="15" t="s">
        <v>36</v>
      </c>
      <c r="F177" s="14" t="s">
        <v>490</v>
      </c>
      <c r="G177" s="17" t="n">
        <v>0</v>
      </c>
      <c r="H177" s="16" t="s">
        <v>546</v>
      </c>
      <c r="I177" s="19" t="n">
        <v>11</v>
      </c>
      <c r="J177" s="19" t="n">
        <v>16</v>
      </c>
      <c r="K177" s="19" t="n">
        <v>20</v>
      </c>
      <c r="L177" s="19" t="n">
        <v>22</v>
      </c>
      <c r="M177" s="19" t="n">
        <v>24</v>
      </c>
      <c r="N177" s="19" t="n">
        <v>29</v>
      </c>
      <c r="O177" s="19" t="n">
        <v>36</v>
      </c>
      <c r="P177" s="19" t="n">
        <v>22.13979</v>
      </c>
      <c r="Q177" s="14" t="n">
        <v>60</v>
      </c>
      <c r="R177" s="14" t="n">
        <v>125</v>
      </c>
      <c r="S177" s="20" t="n">
        <v>0.00381</v>
      </c>
      <c r="T177" s="21" t="n">
        <v>0.12414</v>
      </c>
      <c r="U177" s="14" t="n">
        <v>7</v>
      </c>
      <c r="V177" s="15" t="s">
        <v>39</v>
      </c>
    </row>
    <row r="178" customFormat="false" ht="15" hidden="false" customHeight="false" outlineLevel="0" collapsed="false">
      <c r="A178" s="6" t="n">
        <v>177</v>
      </c>
      <c r="B178" s="6" t="s">
        <v>547</v>
      </c>
      <c r="C178" s="7" t="s">
        <v>63</v>
      </c>
      <c r="D178" s="10" t="s">
        <v>548</v>
      </c>
      <c r="E178" s="7" t="s">
        <v>36</v>
      </c>
      <c r="F178" s="6" t="s">
        <v>490</v>
      </c>
      <c r="G178" s="9" t="n">
        <v>0</v>
      </c>
      <c r="H178" s="10" t="s">
        <v>549</v>
      </c>
      <c r="I178" s="11" t="n">
        <v>17</v>
      </c>
      <c r="J178" s="11" t="n">
        <v>20</v>
      </c>
      <c r="K178" s="11" t="n">
        <v>23</v>
      </c>
      <c r="L178" s="11" t="n">
        <v>25</v>
      </c>
      <c r="M178" s="11" t="n">
        <v>28</v>
      </c>
      <c r="N178" s="11" t="n">
        <v>33</v>
      </c>
      <c r="O178" s="11" t="n">
        <v>40</v>
      </c>
      <c r="P178" s="11" t="n">
        <v>25.55977</v>
      </c>
      <c r="Q178" s="6" t="n">
        <v>45</v>
      </c>
      <c r="R178" s="6" t="n">
        <v>134</v>
      </c>
      <c r="S178" s="12" t="n">
        <v>0.00331</v>
      </c>
      <c r="T178" s="13" t="n">
        <v>0.10777</v>
      </c>
      <c r="U178" s="6" t="n">
        <v>10</v>
      </c>
      <c r="V178" s="7" t="s">
        <v>39</v>
      </c>
    </row>
    <row r="179" customFormat="false" ht="15" hidden="false" customHeight="false" outlineLevel="0" collapsed="false">
      <c r="A179" s="14" t="n">
        <v>178</v>
      </c>
      <c r="B179" s="14" t="s">
        <v>550</v>
      </c>
      <c r="C179" s="15" t="s">
        <v>63</v>
      </c>
      <c r="D179" s="16" t="s">
        <v>551</v>
      </c>
      <c r="E179" s="15" t="s">
        <v>36</v>
      </c>
      <c r="F179" s="14" t="s">
        <v>490</v>
      </c>
      <c r="G179" s="17" t="n">
        <v>0</v>
      </c>
      <c r="H179" s="16" t="s">
        <v>552</v>
      </c>
      <c r="I179" s="19" t="n">
        <v>16</v>
      </c>
      <c r="J179" s="19" t="n">
        <v>18</v>
      </c>
      <c r="K179" s="19" t="n">
        <v>22</v>
      </c>
      <c r="L179" s="19" t="n">
        <v>24</v>
      </c>
      <c r="M179" s="19" t="n">
        <v>27</v>
      </c>
      <c r="N179" s="19" t="n">
        <v>32</v>
      </c>
      <c r="O179" s="19" t="n">
        <v>39</v>
      </c>
      <c r="P179" s="19" t="n">
        <v>24.44995</v>
      </c>
      <c r="Q179" s="14" t="n">
        <v>43</v>
      </c>
      <c r="R179" s="14" t="n">
        <v>31</v>
      </c>
      <c r="S179" s="20" t="n">
        <v>0.02694</v>
      </c>
      <c r="T179" s="21" t="n">
        <v>0.87807</v>
      </c>
      <c r="U179" s="14" t="n">
        <v>23</v>
      </c>
      <c r="V179" s="15" t="s">
        <v>39</v>
      </c>
    </row>
    <row r="180" customFormat="false" ht="15" hidden="false" customHeight="false" outlineLevel="0" collapsed="false">
      <c r="A180" s="6" t="n">
        <v>179</v>
      </c>
      <c r="B180" s="6" t="s">
        <v>553</v>
      </c>
      <c r="C180" s="7" t="s">
        <v>63</v>
      </c>
      <c r="D180" s="10" t="s">
        <v>554</v>
      </c>
      <c r="E180" s="7" t="s">
        <v>72</v>
      </c>
      <c r="F180" s="7" t="s">
        <v>486</v>
      </c>
      <c r="G180" s="9" t="n">
        <v>0</v>
      </c>
      <c r="H180" s="10" t="s">
        <v>555</v>
      </c>
      <c r="I180" s="11" t="n">
        <v>2</v>
      </c>
      <c r="J180" s="11" t="n">
        <v>2</v>
      </c>
      <c r="K180" s="11" t="n">
        <v>2</v>
      </c>
      <c r="L180" s="11" t="n">
        <v>3</v>
      </c>
      <c r="M180" s="11" t="n">
        <v>4</v>
      </c>
      <c r="N180" s="11" t="n">
        <v>7</v>
      </c>
      <c r="O180" s="11" t="n">
        <v>9</v>
      </c>
      <c r="P180" s="11" t="n">
        <v>3.482</v>
      </c>
      <c r="Q180" s="6" t="n">
        <v>18</v>
      </c>
      <c r="R180" s="6" t="n">
        <v>133</v>
      </c>
      <c r="S180" s="12" t="n">
        <v>0.00339</v>
      </c>
      <c r="T180" s="13" t="n">
        <v>0.1104</v>
      </c>
      <c r="U180" s="6" t="n">
        <v>3</v>
      </c>
      <c r="V180" s="7" t="s">
        <v>39</v>
      </c>
    </row>
    <row r="181" customFormat="false" ht="15" hidden="false" customHeight="false" outlineLevel="0" collapsed="false">
      <c r="A181" s="14" t="n">
        <v>180</v>
      </c>
      <c r="B181" s="14" t="s">
        <v>556</v>
      </c>
      <c r="C181" s="15" t="s">
        <v>519</v>
      </c>
      <c r="D181" s="16" t="s">
        <v>557</v>
      </c>
      <c r="E181" s="15" t="s">
        <v>36</v>
      </c>
      <c r="F181" s="15" t="s">
        <v>558</v>
      </c>
      <c r="G181" s="17" t="n">
        <v>0.2</v>
      </c>
      <c r="H181" s="16" t="s">
        <v>559</v>
      </c>
      <c r="I181" s="19" t="n">
        <v>53.6446</v>
      </c>
      <c r="J181" s="19" t="n">
        <v>61.28866</v>
      </c>
      <c r="K181" s="19" t="n">
        <v>73.43788</v>
      </c>
      <c r="L181" s="19" t="n">
        <v>83.53262</v>
      </c>
      <c r="M181" s="19" t="n">
        <v>95.06997</v>
      </c>
      <c r="N181" s="19" t="n">
        <v>112.16591</v>
      </c>
      <c r="O181" s="19" t="n">
        <v>124.99798</v>
      </c>
      <c r="P181" s="19" t="n">
        <v>84.77493</v>
      </c>
      <c r="Q181" s="14" t="n">
        <v>10299</v>
      </c>
      <c r="R181" s="14" t="n">
        <v>63</v>
      </c>
      <c r="S181" s="20" t="n">
        <v>0.01313</v>
      </c>
      <c r="T181" s="21" t="n">
        <v>0.42804</v>
      </c>
      <c r="U181" s="14" t="n">
        <v>26</v>
      </c>
      <c r="V181" s="15" t="s">
        <v>39</v>
      </c>
    </row>
    <row r="182" customFormat="false" ht="15" hidden="false" customHeight="false" outlineLevel="0" collapsed="false">
      <c r="A182" s="6" t="n">
        <v>181</v>
      </c>
      <c r="B182" s="6" t="s">
        <v>560</v>
      </c>
      <c r="C182" s="7" t="s">
        <v>519</v>
      </c>
      <c r="D182" s="10" t="s">
        <v>561</v>
      </c>
      <c r="E182" s="7" t="s">
        <v>36</v>
      </c>
      <c r="F182" s="7" t="s">
        <v>558</v>
      </c>
      <c r="G182" s="9" t="n">
        <v>0.2</v>
      </c>
      <c r="H182" s="10" t="s">
        <v>562</v>
      </c>
      <c r="I182" s="11" t="n">
        <v>39</v>
      </c>
      <c r="J182" s="11" t="n">
        <v>46</v>
      </c>
      <c r="K182" s="11" t="n">
        <v>57</v>
      </c>
      <c r="L182" s="11" t="n">
        <v>66</v>
      </c>
      <c r="M182" s="11" t="n">
        <v>76.625</v>
      </c>
      <c r="N182" s="11" t="n">
        <v>93</v>
      </c>
      <c r="O182" s="11" t="n">
        <v>107.135</v>
      </c>
      <c r="P182" s="11" t="n">
        <v>67.51673</v>
      </c>
      <c r="Q182" s="6" t="n">
        <v>373</v>
      </c>
      <c r="R182" s="6" t="n">
        <v>106</v>
      </c>
      <c r="S182" s="12" t="n">
        <v>0.00565</v>
      </c>
      <c r="T182" s="13" t="n">
        <v>0.18429</v>
      </c>
      <c r="U182" s="6" t="n">
        <v>13</v>
      </c>
      <c r="V182" s="7" t="s">
        <v>39</v>
      </c>
    </row>
    <row r="183" customFormat="false" ht="15" hidden="false" customHeight="false" outlineLevel="0" collapsed="false">
      <c r="A183" s="14" t="n">
        <v>182</v>
      </c>
      <c r="B183" s="14" t="s">
        <v>563</v>
      </c>
      <c r="C183" s="15" t="s">
        <v>519</v>
      </c>
      <c r="D183" s="16" t="s">
        <v>564</v>
      </c>
      <c r="E183" s="15" t="s">
        <v>36</v>
      </c>
      <c r="F183" s="15" t="s">
        <v>558</v>
      </c>
      <c r="G183" s="17" t="n">
        <v>0.2</v>
      </c>
      <c r="H183" s="16" t="s">
        <v>565</v>
      </c>
      <c r="I183" s="19" t="n">
        <v>69</v>
      </c>
      <c r="J183" s="19" t="n">
        <v>78</v>
      </c>
      <c r="K183" s="19" t="n">
        <v>94</v>
      </c>
      <c r="L183" s="19" t="n">
        <v>107</v>
      </c>
      <c r="M183" s="19" t="n">
        <v>122</v>
      </c>
      <c r="N183" s="19" t="n">
        <v>145</v>
      </c>
      <c r="O183" s="19" t="n">
        <v>161</v>
      </c>
      <c r="P183" s="19" t="n">
        <v>108.86511</v>
      </c>
      <c r="Q183" s="14" t="n">
        <v>575</v>
      </c>
      <c r="R183" s="14" t="n">
        <v>100</v>
      </c>
      <c r="S183" s="20" t="n">
        <v>0.00644</v>
      </c>
      <c r="T183" s="21" t="n">
        <v>0.21008</v>
      </c>
      <c r="U183" s="14" t="n">
        <v>20</v>
      </c>
      <c r="V183" s="15" t="s">
        <v>39</v>
      </c>
    </row>
    <row r="184" customFormat="false" ht="15" hidden="false" customHeight="false" outlineLevel="0" collapsed="false">
      <c r="A184" s="6" t="n">
        <v>183</v>
      </c>
      <c r="B184" s="6" t="s">
        <v>566</v>
      </c>
      <c r="C184" s="7" t="s">
        <v>519</v>
      </c>
      <c r="D184" s="10" t="s">
        <v>567</v>
      </c>
      <c r="E184" s="7" t="s">
        <v>36</v>
      </c>
      <c r="F184" s="7" t="s">
        <v>558</v>
      </c>
      <c r="G184" s="9" t="n">
        <v>0.2</v>
      </c>
      <c r="H184" s="10" t="s">
        <v>568</v>
      </c>
      <c r="I184" s="11" t="n">
        <v>48</v>
      </c>
      <c r="J184" s="11" t="n">
        <v>57</v>
      </c>
      <c r="K184" s="11" t="n">
        <v>71</v>
      </c>
      <c r="L184" s="11" t="n">
        <v>83</v>
      </c>
      <c r="M184" s="11" t="n">
        <v>96</v>
      </c>
      <c r="N184" s="11" t="n">
        <v>117</v>
      </c>
      <c r="O184" s="11" t="n">
        <v>133</v>
      </c>
      <c r="P184" s="11" t="n">
        <v>84.60431</v>
      </c>
      <c r="Q184" s="6" t="n">
        <v>265</v>
      </c>
      <c r="R184" s="6" t="n">
        <v>23</v>
      </c>
      <c r="S184" s="12" t="n">
        <v>0.03413</v>
      </c>
      <c r="T184" s="13" t="n">
        <v>1.11264</v>
      </c>
      <c r="U184" s="6" t="n">
        <v>39</v>
      </c>
      <c r="V184" s="7" t="s">
        <v>39</v>
      </c>
    </row>
    <row r="185" customFormat="false" ht="15" hidden="false" customHeight="false" outlineLevel="0" collapsed="false">
      <c r="A185" s="14" t="n">
        <v>184</v>
      </c>
      <c r="B185" s="14" t="s">
        <v>569</v>
      </c>
      <c r="C185" s="15" t="s">
        <v>519</v>
      </c>
      <c r="D185" s="16" t="s">
        <v>570</v>
      </c>
      <c r="E185" s="15" t="s">
        <v>72</v>
      </c>
      <c r="F185" s="15" t="s">
        <v>486</v>
      </c>
      <c r="G185" s="17" t="n">
        <v>0</v>
      </c>
      <c r="H185" s="16" t="s">
        <v>571</v>
      </c>
      <c r="I185" s="19" t="n">
        <v>25</v>
      </c>
      <c r="J185" s="19" t="n">
        <v>35</v>
      </c>
      <c r="K185" s="19" t="n">
        <v>44</v>
      </c>
      <c r="L185" s="19" t="n">
        <v>46</v>
      </c>
      <c r="M185" s="19" t="n">
        <v>47</v>
      </c>
      <c r="N185" s="19" t="n">
        <v>48</v>
      </c>
      <c r="O185" s="19" t="n">
        <v>48</v>
      </c>
      <c r="P185" s="19" t="n">
        <v>44.36491</v>
      </c>
      <c r="Q185" s="14" t="n">
        <v>40</v>
      </c>
      <c r="R185" s="14" t="n">
        <v>24</v>
      </c>
      <c r="S185" s="20" t="n">
        <v>0.03194</v>
      </c>
      <c r="T185" s="21" t="n">
        <v>1.041</v>
      </c>
      <c r="U185" s="14" t="n">
        <v>15</v>
      </c>
      <c r="V185" s="15" t="s">
        <v>39</v>
      </c>
    </row>
    <row r="186" customFormat="false" ht="15" hidden="false" customHeight="false" outlineLevel="0" collapsed="false">
      <c r="A186" s="6" t="n">
        <v>185</v>
      </c>
      <c r="B186" s="6" t="s">
        <v>572</v>
      </c>
      <c r="C186" s="7" t="s">
        <v>87</v>
      </c>
      <c r="D186" s="10" t="s">
        <v>573</v>
      </c>
      <c r="E186" s="7" t="s">
        <v>36</v>
      </c>
      <c r="F186" s="6" t="s">
        <v>93</v>
      </c>
      <c r="G186" s="9" t="n">
        <v>13.8</v>
      </c>
      <c r="H186" s="10" t="s">
        <v>574</v>
      </c>
      <c r="I186" s="11" t="n">
        <v>898.42019</v>
      </c>
      <c r="J186" s="11" t="n">
        <v>1693.04</v>
      </c>
      <c r="K186" s="11" t="n">
        <v>3562.14071</v>
      </c>
      <c r="L186" s="11" t="n">
        <v>5772.12842</v>
      </c>
      <c r="M186" s="11" t="n">
        <v>8857.79645</v>
      </c>
      <c r="N186" s="11" t="n">
        <v>14967.03034</v>
      </c>
      <c r="O186" s="11" t="n">
        <v>22267.0423</v>
      </c>
      <c r="P186" s="11" t="n">
        <v>6739.3796</v>
      </c>
      <c r="Q186" s="6" t="n">
        <v>9411</v>
      </c>
      <c r="R186" s="6" t="n">
        <v>26</v>
      </c>
      <c r="S186" s="12" t="n">
        <v>0.03058</v>
      </c>
      <c r="T186" s="13" t="n">
        <v>0.99666</v>
      </c>
      <c r="U186" s="6" t="n">
        <v>44</v>
      </c>
      <c r="V186" s="7" t="s">
        <v>39</v>
      </c>
    </row>
    <row r="187" customFormat="false" ht="15" hidden="false" customHeight="false" outlineLevel="0" collapsed="false">
      <c r="A187" s="14" t="n">
        <v>186</v>
      </c>
      <c r="B187" s="14" t="s">
        <v>575</v>
      </c>
      <c r="C187" s="15" t="s">
        <v>87</v>
      </c>
      <c r="D187" s="16" t="s">
        <v>576</v>
      </c>
      <c r="E187" s="15" t="s">
        <v>72</v>
      </c>
      <c r="F187" s="15" t="s">
        <v>486</v>
      </c>
      <c r="G187" s="17" t="n">
        <v>0</v>
      </c>
      <c r="H187" s="16" t="s">
        <v>577</v>
      </c>
      <c r="I187" s="19" t="n">
        <v>0</v>
      </c>
      <c r="J187" s="19" t="n">
        <v>0</v>
      </c>
      <c r="K187" s="19" t="n">
        <v>29</v>
      </c>
      <c r="L187" s="19" t="n">
        <v>45</v>
      </c>
      <c r="M187" s="19" t="n">
        <v>48</v>
      </c>
      <c r="N187" s="19" t="n">
        <v>48</v>
      </c>
      <c r="O187" s="19" t="n">
        <v>48</v>
      </c>
      <c r="P187" s="19" t="n">
        <v>35.66373</v>
      </c>
      <c r="Q187" s="14" t="n">
        <v>48</v>
      </c>
      <c r="R187" s="14" t="n">
        <v>77</v>
      </c>
      <c r="S187" s="20" t="n">
        <v>0.01068</v>
      </c>
      <c r="T187" s="21" t="n">
        <v>0.34828</v>
      </c>
      <c r="U187" s="14" t="n">
        <v>16</v>
      </c>
      <c r="V187" s="15" t="s">
        <v>39</v>
      </c>
    </row>
    <row r="188" customFormat="false" ht="15" hidden="false" customHeight="false" outlineLevel="0" collapsed="false">
      <c r="A188" s="6" t="n">
        <v>187</v>
      </c>
      <c r="B188" s="6" t="s">
        <v>578</v>
      </c>
      <c r="C188" s="7" t="s">
        <v>63</v>
      </c>
      <c r="D188" s="10" t="s">
        <v>579</v>
      </c>
      <c r="E188" s="7" t="s">
        <v>36</v>
      </c>
      <c r="F188" s="6" t="s">
        <v>490</v>
      </c>
      <c r="G188" s="9" t="n">
        <v>0</v>
      </c>
      <c r="H188" s="10" t="s">
        <v>580</v>
      </c>
      <c r="I188" s="11" t="n">
        <v>3.15</v>
      </c>
      <c r="J188" s="11" t="n">
        <v>3.4</v>
      </c>
      <c r="K188" s="11" t="n">
        <v>3.75</v>
      </c>
      <c r="L188" s="11" t="n">
        <v>4</v>
      </c>
      <c r="M188" s="11" t="n">
        <v>4.26667</v>
      </c>
      <c r="N188" s="11" t="n">
        <v>4.8</v>
      </c>
      <c r="O188" s="11" t="n">
        <v>5.23333</v>
      </c>
      <c r="P188" s="11" t="n">
        <v>4.02748</v>
      </c>
      <c r="Q188" s="6" t="n">
        <v>1589</v>
      </c>
      <c r="R188" s="6" t="n">
        <v>98</v>
      </c>
      <c r="S188" s="12" t="n">
        <v>0.00691</v>
      </c>
      <c r="T188" s="13" t="n">
        <v>0.22511</v>
      </c>
      <c r="U188" s="6" t="n">
        <v>19</v>
      </c>
      <c r="V188" s="7" t="s">
        <v>39</v>
      </c>
    </row>
    <row r="189" customFormat="false" ht="15" hidden="false" customHeight="false" outlineLevel="0" collapsed="false">
      <c r="A189" s="14" t="n">
        <v>188</v>
      </c>
      <c r="B189" s="14" t="s">
        <v>581</v>
      </c>
      <c r="C189" s="15" t="s">
        <v>63</v>
      </c>
      <c r="D189" s="16" t="s">
        <v>582</v>
      </c>
      <c r="E189" s="15" t="s">
        <v>36</v>
      </c>
      <c r="F189" s="14" t="s">
        <v>490</v>
      </c>
      <c r="G189" s="17" t="n">
        <v>0</v>
      </c>
      <c r="H189" s="16" t="s">
        <v>583</v>
      </c>
      <c r="I189" s="19" t="n">
        <v>2.5</v>
      </c>
      <c r="J189" s="19" t="n">
        <v>2.9</v>
      </c>
      <c r="K189" s="19" t="n">
        <v>3.4</v>
      </c>
      <c r="L189" s="19" t="n">
        <v>3.6</v>
      </c>
      <c r="M189" s="19" t="n">
        <v>3.9</v>
      </c>
      <c r="N189" s="19" t="n">
        <v>4.4</v>
      </c>
      <c r="O189" s="19" t="n">
        <v>4.8</v>
      </c>
      <c r="P189" s="19" t="n">
        <v>3.6582</v>
      </c>
      <c r="Q189" s="14" t="n">
        <v>89</v>
      </c>
      <c r="R189" s="14" t="n">
        <v>39</v>
      </c>
      <c r="S189" s="20" t="n">
        <v>0.02281</v>
      </c>
      <c r="T189" s="21" t="n">
        <v>0.74365</v>
      </c>
      <c r="U189" s="14" t="n">
        <v>22</v>
      </c>
      <c r="V189" s="15" t="s">
        <v>39</v>
      </c>
    </row>
    <row r="190" customFormat="false" ht="15" hidden="false" customHeight="false" outlineLevel="0" collapsed="false">
      <c r="A190" s="6" t="n">
        <v>189</v>
      </c>
      <c r="B190" s="6" t="s">
        <v>584</v>
      </c>
      <c r="C190" s="7" t="s">
        <v>63</v>
      </c>
      <c r="D190" s="10" t="s">
        <v>585</v>
      </c>
      <c r="E190" s="7" t="s">
        <v>36</v>
      </c>
      <c r="F190" s="6" t="s">
        <v>490</v>
      </c>
      <c r="G190" s="9" t="n">
        <v>0</v>
      </c>
      <c r="H190" s="10" t="s">
        <v>586</v>
      </c>
      <c r="I190" s="11" t="n">
        <v>3.4</v>
      </c>
      <c r="J190" s="11" t="n">
        <v>3.6</v>
      </c>
      <c r="K190" s="11" t="n">
        <v>4</v>
      </c>
      <c r="L190" s="11" t="n">
        <v>4.3</v>
      </c>
      <c r="M190" s="11" t="n">
        <v>4.7</v>
      </c>
      <c r="N190" s="11" t="n">
        <v>5.7</v>
      </c>
      <c r="O190" s="11" t="n">
        <v>6.8</v>
      </c>
      <c r="P190" s="11" t="n">
        <v>4.45036</v>
      </c>
      <c r="Q190" s="6" t="n">
        <v>120</v>
      </c>
      <c r="R190" s="6" t="n">
        <v>41</v>
      </c>
      <c r="S190" s="12" t="n">
        <v>0.02248</v>
      </c>
      <c r="T190" s="13" t="n">
        <v>0.73266</v>
      </c>
      <c r="U190" s="6" t="n">
        <v>30</v>
      </c>
      <c r="V190" s="7" t="s">
        <v>39</v>
      </c>
    </row>
    <row r="191" customFormat="false" ht="15" hidden="false" customHeight="false" outlineLevel="0" collapsed="false">
      <c r="A191" s="14" t="n">
        <v>190</v>
      </c>
      <c r="B191" s="14" t="s">
        <v>587</v>
      </c>
      <c r="C191" s="15" t="s">
        <v>63</v>
      </c>
      <c r="D191" s="16" t="s">
        <v>588</v>
      </c>
      <c r="E191" s="15" t="s">
        <v>36</v>
      </c>
      <c r="F191" s="14" t="s">
        <v>490</v>
      </c>
      <c r="G191" s="17" t="n">
        <v>0</v>
      </c>
      <c r="H191" s="16" t="s">
        <v>589</v>
      </c>
      <c r="I191" s="19" t="n">
        <v>3</v>
      </c>
      <c r="J191" s="19" t="n">
        <v>3.3</v>
      </c>
      <c r="K191" s="19" t="n">
        <v>3.7</v>
      </c>
      <c r="L191" s="19" t="n">
        <v>3.9</v>
      </c>
      <c r="M191" s="19" t="n">
        <v>4.2</v>
      </c>
      <c r="N191" s="19" t="n">
        <v>4.7</v>
      </c>
      <c r="O191" s="19" t="n">
        <v>5.2</v>
      </c>
      <c r="P191" s="19" t="n">
        <v>3.95771</v>
      </c>
      <c r="Q191" s="14" t="n">
        <v>71</v>
      </c>
      <c r="R191" s="14" t="n">
        <v>56</v>
      </c>
      <c r="S191" s="20" t="n">
        <v>0.01566</v>
      </c>
      <c r="T191" s="21" t="n">
        <v>0.51039</v>
      </c>
      <c r="U191" s="14" t="n">
        <v>14</v>
      </c>
      <c r="V191" s="15" t="s">
        <v>39</v>
      </c>
    </row>
    <row r="192" customFormat="false" ht="15" hidden="false" customHeight="false" outlineLevel="0" collapsed="false">
      <c r="A192" s="6" t="n">
        <v>191</v>
      </c>
      <c r="B192" s="6" t="s">
        <v>590</v>
      </c>
      <c r="C192" s="7" t="s">
        <v>63</v>
      </c>
      <c r="D192" s="10" t="s">
        <v>591</v>
      </c>
      <c r="E192" s="7" t="s">
        <v>72</v>
      </c>
      <c r="F192" s="7" t="s">
        <v>486</v>
      </c>
      <c r="G192" s="9" t="n">
        <v>0</v>
      </c>
      <c r="H192" s="10" t="s">
        <v>592</v>
      </c>
      <c r="I192" s="11" t="n">
        <v>2</v>
      </c>
      <c r="J192" s="11" t="n">
        <v>2</v>
      </c>
      <c r="K192" s="11" t="n">
        <v>2</v>
      </c>
      <c r="L192" s="11" t="n">
        <v>3</v>
      </c>
      <c r="M192" s="11" t="n">
        <v>5</v>
      </c>
      <c r="N192" s="11" t="n">
        <v>10</v>
      </c>
      <c r="O192" s="11" t="n">
        <v>14</v>
      </c>
      <c r="P192" s="11" t="n">
        <v>4.29673</v>
      </c>
      <c r="Q192" s="6" t="n">
        <v>26</v>
      </c>
      <c r="R192" s="6" t="n">
        <v>37</v>
      </c>
      <c r="S192" s="12" t="n">
        <v>0.02363</v>
      </c>
      <c r="T192" s="13" t="n">
        <v>0.7701</v>
      </c>
      <c r="U192" s="6" t="n">
        <v>19</v>
      </c>
      <c r="V192" s="7" t="s">
        <v>39</v>
      </c>
    </row>
    <row r="193" customFormat="false" ht="29.85" hidden="false" customHeight="false" outlineLevel="0" collapsed="false">
      <c r="A193" s="14" t="n">
        <v>192</v>
      </c>
      <c r="B193" s="14" t="s">
        <v>593</v>
      </c>
      <c r="C193" s="15" t="s">
        <v>519</v>
      </c>
      <c r="D193" s="16" t="s">
        <v>594</v>
      </c>
      <c r="E193" s="15" t="s">
        <v>36</v>
      </c>
      <c r="F193" s="14" t="s">
        <v>521</v>
      </c>
      <c r="G193" s="17" t="n">
        <v>0.4</v>
      </c>
      <c r="H193" s="16" t="s">
        <v>595</v>
      </c>
      <c r="I193" s="19" t="n">
        <v>60.56032</v>
      </c>
      <c r="J193" s="19" t="n">
        <v>65.84342</v>
      </c>
      <c r="K193" s="19" t="n">
        <v>73.45148</v>
      </c>
      <c r="L193" s="19" t="n">
        <v>80.51449</v>
      </c>
      <c r="M193" s="19" t="n">
        <v>88.73295</v>
      </c>
      <c r="N193" s="19" t="n">
        <v>101.7329</v>
      </c>
      <c r="O193" s="19" t="n">
        <v>111.28739</v>
      </c>
      <c r="P193" s="19" t="n">
        <v>81.71766</v>
      </c>
      <c r="Q193" s="14" t="n">
        <v>10047</v>
      </c>
      <c r="R193" s="14" t="n">
        <v>48</v>
      </c>
      <c r="S193" s="20" t="n">
        <v>0.01718</v>
      </c>
      <c r="T193" s="21" t="n">
        <v>0.56004</v>
      </c>
      <c r="U193" s="14" t="n">
        <v>27</v>
      </c>
      <c r="V193" s="15" t="s">
        <v>39</v>
      </c>
    </row>
    <row r="194" customFormat="false" ht="29.85" hidden="false" customHeight="false" outlineLevel="0" collapsed="false">
      <c r="A194" s="6" t="n">
        <v>193</v>
      </c>
      <c r="B194" s="6" t="s">
        <v>596</v>
      </c>
      <c r="C194" s="7" t="s">
        <v>519</v>
      </c>
      <c r="D194" s="10" t="s">
        <v>597</v>
      </c>
      <c r="E194" s="7" t="s">
        <v>36</v>
      </c>
      <c r="F194" s="6" t="s">
        <v>521</v>
      </c>
      <c r="G194" s="9" t="n">
        <v>0.4</v>
      </c>
      <c r="H194" s="10" t="s">
        <v>598</v>
      </c>
      <c r="I194" s="11" t="n">
        <v>33</v>
      </c>
      <c r="J194" s="11" t="n">
        <v>45</v>
      </c>
      <c r="K194" s="11" t="n">
        <v>55</v>
      </c>
      <c r="L194" s="11" t="n">
        <v>61</v>
      </c>
      <c r="M194" s="11" t="n">
        <v>68</v>
      </c>
      <c r="N194" s="11" t="n">
        <v>81</v>
      </c>
      <c r="O194" s="11" t="n">
        <v>92</v>
      </c>
      <c r="P194" s="11" t="n">
        <v>61.73672</v>
      </c>
      <c r="Q194" s="6" t="n">
        <v>333</v>
      </c>
      <c r="R194" s="6" t="n">
        <v>119</v>
      </c>
      <c r="S194" s="12" t="n">
        <v>0.00458</v>
      </c>
      <c r="T194" s="13" t="n">
        <v>0.14925</v>
      </c>
      <c r="U194" s="6" t="n">
        <v>13</v>
      </c>
      <c r="V194" s="7" t="s">
        <v>39</v>
      </c>
    </row>
    <row r="195" customFormat="false" ht="29.85" hidden="false" customHeight="false" outlineLevel="0" collapsed="false">
      <c r="A195" s="14" t="n">
        <v>194</v>
      </c>
      <c r="B195" s="14" t="s">
        <v>599</v>
      </c>
      <c r="C195" s="15" t="s">
        <v>519</v>
      </c>
      <c r="D195" s="16" t="s">
        <v>600</v>
      </c>
      <c r="E195" s="15" t="s">
        <v>36</v>
      </c>
      <c r="F195" s="14" t="s">
        <v>521</v>
      </c>
      <c r="G195" s="17" t="n">
        <v>0.4</v>
      </c>
      <c r="H195" s="16" t="s">
        <v>601</v>
      </c>
      <c r="I195" s="19" t="n">
        <v>75.41667</v>
      </c>
      <c r="J195" s="19" t="n">
        <v>83</v>
      </c>
      <c r="K195" s="19" t="n">
        <v>96</v>
      </c>
      <c r="L195" s="19" t="n">
        <v>107</v>
      </c>
      <c r="M195" s="19" t="n">
        <v>120</v>
      </c>
      <c r="N195" s="19" t="n">
        <v>146</v>
      </c>
      <c r="O195" s="19" t="n">
        <v>180</v>
      </c>
      <c r="P195" s="19" t="n">
        <v>109.97422</v>
      </c>
      <c r="Q195" s="14" t="n">
        <v>497</v>
      </c>
      <c r="R195" s="14" t="n">
        <v>51</v>
      </c>
      <c r="S195" s="20" t="n">
        <v>0.01675</v>
      </c>
      <c r="T195" s="21" t="n">
        <v>0.54596</v>
      </c>
      <c r="U195" s="14" t="n">
        <v>35</v>
      </c>
      <c r="V195" s="15" t="s">
        <v>39</v>
      </c>
    </row>
    <row r="196" customFormat="false" ht="29.85" hidden="false" customHeight="false" outlineLevel="0" collapsed="false">
      <c r="A196" s="6" t="n">
        <v>195</v>
      </c>
      <c r="B196" s="6" t="s">
        <v>602</v>
      </c>
      <c r="C196" s="7" t="s">
        <v>519</v>
      </c>
      <c r="D196" s="10" t="s">
        <v>603</v>
      </c>
      <c r="E196" s="7" t="s">
        <v>36</v>
      </c>
      <c r="F196" s="6" t="s">
        <v>521</v>
      </c>
      <c r="G196" s="9" t="n">
        <v>0.4</v>
      </c>
      <c r="H196" s="10" t="s">
        <v>604</v>
      </c>
      <c r="I196" s="11" t="n">
        <v>53</v>
      </c>
      <c r="J196" s="11" t="n">
        <v>60.5</v>
      </c>
      <c r="K196" s="11" t="n">
        <v>72</v>
      </c>
      <c r="L196" s="11" t="n">
        <v>81</v>
      </c>
      <c r="M196" s="11" t="n">
        <v>92.5</v>
      </c>
      <c r="N196" s="11" t="n">
        <v>110</v>
      </c>
      <c r="O196" s="11" t="n">
        <v>124</v>
      </c>
      <c r="P196" s="11" t="n">
        <v>82.71094</v>
      </c>
      <c r="Q196" s="6" t="n">
        <v>272</v>
      </c>
      <c r="R196" s="6" t="n">
        <v>6</v>
      </c>
      <c r="S196" s="12" t="n">
        <v>0.08745</v>
      </c>
      <c r="T196" s="13" t="n">
        <v>2.85064</v>
      </c>
      <c r="U196" s="6" t="n">
        <v>55</v>
      </c>
      <c r="V196" s="7" t="s">
        <v>39</v>
      </c>
    </row>
    <row r="197" customFormat="false" ht="15" hidden="false" customHeight="false" outlineLevel="0" collapsed="false">
      <c r="A197" s="14" t="n">
        <v>196</v>
      </c>
      <c r="B197" s="14" t="s">
        <v>605</v>
      </c>
      <c r="C197" s="15" t="s">
        <v>519</v>
      </c>
      <c r="D197" s="16" t="s">
        <v>606</v>
      </c>
      <c r="E197" s="15" t="s">
        <v>72</v>
      </c>
      <c r="F197" s="15" t="s">
        <v>486</v>
      </c>
      <c r="G197" s="17" t="n">
        <v>0</v>
      </c>
      <c r="H197" s="16" t="s">
        <v>607</v>
      </c>
      <c r="I197" s="19" t="n">
        <v>4</v>
      </c>
      <c r="J197" s="19" t="n">
        <v>22</v>
      </c>
      <c r="K197" s="19" t="n">
        <v>41</v>
      </c>
      <c r="L197" s="19" t="n">
        <v>45</v>
      </c>
      <c r="M197" s="19" t="n">
        <v>46</v>
      </c>
      <c r="N197" s="19" t="n">
        <v>48</v>
      </c>
      <c r="O197" s="19" t="n">
        <v>48</v>
      </c>
      <c r="P197" s="19" t="n">
        <v>41.32155</v>
      </c>
      <c r="Q197" s="14" t="n">
        <v>49</v>
      </c>
      <c r="R197" s="14" t="n">
        <v>72</v>
      </c>
      <c r="S197" s="20" t="n">
        <v>0.01177</v>
      </c>
      <c r="T197" s="21" t="n">
        <v>0.38378</v>
      </c>
      <c r="U197" s="14" t="n">
        <v>20</v>
      </c>
      <c r="V197" s="15" t="s">
        <v>39</v>
      </c>
    </row>
    <row r="198" customFormat="false" ht="15" hidden="false" customHeight="false" outlineLevel="0" collapsed="false">
      <c r="A198" s="6" t="n">
        <v>197</v>
      </c>
      <c r="B198" s="6" t="s">
        <v>608</v>
      </c>
      <c r="C198" s="7" t="s">
        <v>63</v>
      </c>
      <c r="D198" s="10" t="s">
        <v>609</v>
      </c>
      <c r="E198" s="7" t="s">
        <v>36</v>
      </c>
      <c r="F198" s="6" t="s">
        <v>65</v>
      </c>
      <c r="G198" s="9" t="n">
        <v>0.1</v>
      </c>
      <c r="H198" s="10" t="s">
        <v>610</v>
      </c>
      <c r="I198" s="11" t="n">
        <v>1.5243</v>
      </c>
      <c r="J198" s="11" t="n">
        <v>1.7</v>
      </c>
      <c r="K198" s="11" t="n">
        <v>1.875</v>
      </c>
      <c r="L198" s="11" t="n">
        <v>2</v>
      </c>
      <c r="M198" s="11" t="n">
        <v>2.15</v>
      </c>
      <c r="N198" s="11" t="n">
        <v>2.45</v>
      </c>
      <c r="O198" s="11" t="n">
        <v>2.825</v>
      </c>
      <c r="P198" s="11" t="n">
        <v>2.03202</v>
      </c>
      <c r="Q198" s="6" t="n">
        <v>613</v>
      </c>
      <c r="R198" s="6" t="n">
        <v>111</v>
      </c>
      <c r="S198" s="12" t="n">
        <v>0.00512</v>
      </c>
      <c r="T198" s="13" t="n">
        <v>0.16702</v>
      </c>
      <c r="U198" s="6" t="n">
        <v>9</v>
      </c>
      <c r="V198" s="7" t="s">
        <v>39</v>
      </c>
    </row>
    <row r="199" customFormat="false" ht="15" hidden="false" customHeight="false" outlineLevel="0" collapsed="false">
      <c r="A199" s="14" t="n">
        <v>198</v>
      </c>
      <c r="B199" s="14" t="s">
        <v>611</v>
      </c>
      <c r="C199" s="15" t="s">
        <v>63</v>
      </c>
      <c r="D199" s="16" t="s">
        <v>612</v>
      </c>
      <c r="E199" s="15" t="s">
        <v>36</v>
      </c>
      <c r="F199" s="14" t="s">
        <v>65</v>
      </c>
      <c r="G199" s="17" t="n">
        <v>0.1</v>
      </c>
      <c r="H199" s="16" t="s">
        <v>613</v>
      </c>
      <c r="I199" s="19" t="n">
        <v>1.1</v>
      </c>
      <c r="J199" s="19" t="n">
        <v>1.4</v>
      </c>
      <c r="K199" s="19" t="n">
        <v>1.7</v>
      </c>
      <c r="L199" s="19" t="n">
        <v>1.8</v>
      </c>
      <c r="M199" s="19" t="n">
        <v>2</v>
      </c>
      <c r="N199" s="19" t="n">
        <v>2.3</v>
      </c>
      <c r="O199" s="19" t="n">
        <v>2.6</v>
      </c>
      <c r="P199" s="19" t="n">
        <v>1.8303</v>
      </c>
      <c r="Q199" s="14" t="n">
        <v>38</v>
      </c>
      <c r="R199" s="14" t="n">
        <v>136</v>
      </c>
      <c r="S199" s="20" t="n">
        <v>0.00307</v>
      </c>
      <c r="T199" s="21" t="n">
        <v>0.10023</v>
      </c>
      <c r="U199" s="14" t="n">
        <v>4</v>
      </c>
      <c r="V199" s="15" t="s">
        <v>39</v>
      </c>
    </row>
    <row r="200" customFormat="false" ht="15" hidden="false" customHeight="false" outlineLevel="0" collapsed="false">
      <c r="A200" s="6" t="n">
        <v>199</v>
      </c>
      <c r="B200" s="6" t="s">
        <v>614</v>
      </c>
      <c r="C200" s="7" t="s">
        <v>63</v>
      </c>
      <c r="D200" s="10" t="s">
        <v>615</v>
      </c>
      <c r="E200" s="7" t="s">
        <v>36</v>
      </c>
      <c r="F200" s="6" t="s">
        <v>65</v>
      </c>
      <c r="G200" s="9" t="n">
        <v>0.1</v>
      </c>
      <c r="H200" s="10" t="s">
        <v>616</v>
      </c>
      <c r="I200" s="11" t="n">
        <v>1.6</v>
      </c>
      <c r="J200" s="11" t="n">
        <v>1.8</v>
      </c>
      <c r="K200" s="11" t="n">
        <v>2</v>
      </c>
      <c r="L200" s="11" t="n">
        <v>2.2</v>
      </c>
      <c r="M200" s="11" t="n">
        <v>2.4</v>
      </c>
      <c r="N200" s="11" t="n">
        <v>2.9</v>
      </c>
      <c r="O200" s="11" t="n">
        <v>3.5</v>
      </c>
      <c r="P200" s="11" t="n">
        <v>2.25153</v>
      </c>
      <c r="Q200" s="6" t="n">
        <v>54</v>
      </c>
      <c r="R200" s="6" t="n">
        <v>159</v>
      </c>
      <c r="S200" s="12" t="n">
        <v>0.00133</v>
      </c>
      <c r="T200" s="13" t="n">
        <v>0.04336</v>
      </c>
      <c r="U200" s="6" t="n">
        <v>3</v>
      </c>
      <c r="V200" s="7" t="s">
        <v>39</v>
      </c>
    </row>
    <row r="201" customFormat="false" ht="15" hidden="false" customHeight="false" outlineLevel="0" collapsed="false">
      <c r="A201" s="14" t="n">
        <v>200</v>
      </c>
      <c r="B201" s="14" t="s">
        <v>617</v>
      </c>
      <c r="C201" s="15" t="s">
        <v>63</v>
      </c>
      <c r="D201" s="16" t="s">
        <v>618</v>
      </c>
      <c r="E201" s="15" t="s">
        <v>36</v>
      </c>
      <c r="F201" s="14" t="s">
        <v>65</v>
      </c>
      <c r="G201" s="17" t="n">
        <v>0.1</v>
      </c>
      <c r="H201" s="16" t="s">
        <v>619</v>
      </c>
      <c r="I201" s="19" t="n">
        <v>1.5</v>
      </c>
      <c r="J201" s="19" t="n">
        <v>1.7</v>
      </c>
      <c r="K201" s="19" t="n">
        <v>1.9</v>
      </c>
      <c r="L201" s="19" t="n">
        <v>2</v>
      </c>
      <c r="M201" s="19" t="n">
        <v>2.2</v>
      </c>
      <c r="N201" s="19" t="n">
        <v>2.5</v>
      </c>
      <c r="O201" s="19" t="n">
        <v>2.9</v>
      </c>
      <c r="P201" s="19" t="n">
        <v>2.05937</v>
      </c>
      <c r="Q201" s="14" t="n">
        <v>32</v>
      </c>
      <c r="R201" s="14" t="n">
        <v>96</v>
      </c>
      <c r="S201" s="20" t="n">
        <v>0.00727</v>
      </c>
      <c r="T201" s="21" t="n">
        <v>0.23699</v>
      </c>
      <c r="U201" s="14" t="n">
        <v>16</v>
      </c>
      <c r="V201" s="15" t="s">
        <v>39</v>
      </c>
    </row>
    <row r="202" customFormat="false" ht="15" hidden="false" customHeight="false" outlineLevel="0" collapsed="false">
      <c r="A202" s="6" t="n">
        <v>201</v>
      </c>
      <c r="B202" s="6" t="s">
        <v>620</v>
      </c>
      <c r="C202" s="7" t="s">
        <v>63</v>
      </c>
      <c r="D202" s="10" t="s">
        <v>621</v>
      </c>
      <c r="E202" s="7" t="s">
        <v>72</v>
      </c>
      <c r="F202" s="7" t="s">
        <v>486</v>
      </c>
      <c r="G202" s="9" t="n">
        <v>0</v>
      </c>
      <c r="H202" s="10" t="s">
        <v>487</v>
      </c>
      <c r="I202" s="11" t="n">
        <v>1</v>
      </c>
      <c r="J202" s="11" t="n">
        <v>2</v>
      </c>
      <c r="K202" s="11" t="n">
        <v>2</v>
      </c>
      <c r="L202" s="11" t="n">
        <v>3</v>
      </c>
      <c r="M202" s="11" t="n">
        <v>4</v>
      </c>
      <c r="N202" s="11" t="n">
        <v>6</v>
      </c>
      <c r="O202" s="11" t="n">
        <v>9</v>
      </c>
      <c r="P202" s="11" t="n">
        <v>3.36473</v>
      </c>
      <c r="Q202" s="6" t="n">
        <v>19</v>
      </c>
      <c r="R202" s="6" t="n">
        <v>266</v>
      </c>
      <c r="S202" s="12" t="n">
        <v>0</v>
      </c>
      <c r="T202" s="13" t="n">
        <v>0</v>
      </c>
      <c r="U202" s="6" t="n">
        <v>0</v>
      </c>
      <c r="V202" s="7" t="s">
        <v>50</v>
      </c>
    </row>
    <row r="203" customFormat="false" ht="15" hidden="false" customHeight="false" outlineLevel="0" collapsed="false">
      <c r="A203" s="14" t="n">
        <v>202</v>
      </c>
      <c r="B203" s="14" t="s">
        <v>622</v>
      </c>
      <c r="C203" s="15" t="s">
        <v>63</v>
      </c>
      <c r="D203" s="16" t="s">
        <v>623</v>
      </c>
      <c r="E203" s="15" t="s">
        <v>36</v>
      </c>
      <c r="F203" s="14" t="s">
        <v>490</v>
      </c>
      <c r="G203" s="17" t="n">
        <v>0</v>
      </c>
      <c r="H203" s="16" t="s">
        <v>624</v>
      </c>
      <c r="I203" s="19" t="n">
        <v>122.74821</v>
      </c>
      <c r="J203" s="19" t="n">
        <v>131</v>
      </c>
      <c r="K203" s="19" t="n">
        <v>136.33333</v>
      </c>
      <c r="L203" s="19" t="n">
        <v>139</v>
      </c>
      <c r="M203" s="19" t="n">
        <v>141.5</v>
      </c>
      <c r="N203" s="19" t="n">
        <v>146.2</v>
      </c>
      <c r="O203" s="19" t="n">
        <v>151.167</v>
      </c>
      <c r="P203" s="19" t="n">
        <v>138.79771</v>
      </c>
      <c r="Q203" s="14" t="n">
        <v>1090</v>
      </c>
      <c r="R203" s="14" t="n">
        <v>94</v>
      </c>
      <c r="S203" s="20" t="n">
        <v>0.00741</v>
      </c>
      <c r="T203" s="21" t="n">
        <v>0.24153</v>
      </c>
      <c r="U203" s="14" t="n">
        <v>18</v>
      </c>
      <c r="V203" s="15" t="s">
        <v>39</v>
      </c>
    </row>
    <row r="204" customFormat="false" ht="15" hidden="false" customHeight="false" outlineLevel="0" collapsed="false">
      <c r="A204" s="6" t="n">
        <v>203</v>
      </c>
      <c r="B204" s="6" t="s">
        <v>625</v>
      </c>
      <c r="C204" s="7" t="s">
        <v>63</v>
      </c>
      <c r="D204" s="10" t="s">
        <v>626</v>
      </c>
      <c r="E204" s="7" t="s">
        <v>36</v>
      </c>
      <c r="F204" s="6" t="s">
        <v>490</v>
      </c>
      <c r="G204" s="9" t="n">
        <v>0</v>
      </c>
      <c r="H204" s="10" t="s">
        <v>627</v>
      </c>
      <c r="I204" s="11" t="n">
        <v>117</v>
      </c>
      <c r="J204" s="11" t="n">
        <v>128</v>
      </c>
      <c r="K204" s="11" t="n">
        <v>134</v>
      </c>
      <c r="L204" s="11" t="n">
        <v>137</v>
      </c>
      <c r="M204" s="11" t="n">
        <v>140</v>
      </c>
      <c r="N204" s="11" t="n">
        <v>144</v>
      </c>
      <c r="O204" s="11" t="n">
        <v>147</v>
      </c>
      <c r="P204" s="11" t="n">
        <v>136.38531</v>
      </c>
      <c r="Q204" s="6" t="n">
        <v>96</v>
      </c>
      <c r="R204" s="6" t="n">
        <v>113</v>
      </c>
      <c r="S204" s="12" t="n">
        <v>0.00501</v>
      </c>
      <c r="T204" s="13" t="n">
        <v>0.16337</v>
      </c>
      <c r="U204" s="6" t="n">
        <v>8</v>
      </c>
      <c r="V204" s="7" t="s">
        <v>39</v>
      </c>
    </row>
    <row r="205" customFormat="false" ht="15" hidden="false" customHeight="false" outlineLevel="0" collapsed="false">
      <c r="A205" s="14" t="n">
        <v>204</v>
      </c>
      <c r="B205" s="14" t="s">
        <v>628</v>
      </c>
      <c r="C205" s="15" t="s">
        <v>63</v>
      </c>
      <c r="D205" s="16" t="s">
        <v>629</v>
      </c>
      <c r="E205" s="15" t="s">
        <v>36</v>
      </c>
      <c r="F205" s="14" t="s">
        <v>490</v>
      </c>
      <c r="G205" s="17" t="n">
        <v>0</v>
      </c>
      <c r="H205" s="16" t="s">
        <v>630</v>
      </c>
      <c r="I205" s="19" t="n">
        <v>127</v>
      </c>
      <c r="J205" s="19" t="n">
        <v>133</v>
      </c>
      <c r="K205" s="19" t="n">
        <v>138</v>
      </c>
      <c r="L205" s="19" t="n">
        <v>141</v>
      </c>
      <c r="M205" s="19" t="n">
        <v>143</v>
      </c>
      <c r="N205" s="19" t="n">
        <v>150</v>
      </c>
      <c r="O205" s="19" t="n">
        <v>158</v>
      </c>
      <c r="P205" s="19" t="n">
        <v>141.06738</v>
      </c>
      <c r="Q205" s="14" t="n">
        <v>86</v>
      </c>
      <c r="R205" s="14" t="n">
        <v>88</v>
      </c>
      <c r="S205" s="20" t="n">
        <v>0.00937</v>
      </c>
      <c r="T205" s="21" t="n">
        <v>0.30555</v>
      </c>
      <c r="U205" s="14" t="n">
        <v>16</v>
      </c>
      <c r="V205" s="15" t="s">
        <v>39</v>
      </c>
    </row>
    <row r="206" customFormat="false" ht="15" hidden="false" customHeight="false" outlineLevel="0" collapsed="false">
      <c r="A206" s="6" t="n">
        <v>205</v>
      </c>
      <c r="B206" s="6" t="s">
        <v>631</v>
      </c>
      <c r="C206" s="7" t="s">
        <v>63</v>
      </c>
      <c r="D206" s="10" t="s">
        <v>632</v>
      </c>
      <c r="E206" s="7" t="s">
        <v>36</v>
      </c>
      <c r="F206" s="6" t="s">
        <v>490</v>
      </c>
      <c r="G206" s="9" t="n">
        <v>0</v>
      </c>
      <c r="H206" s="10" t="s">
        <v>633</v>
      </c>
      <c r="I206" s="11" t="n">
        <v>125</v>
      </c>
      <c r="J206" s="11" t="n">
        <v>131</v>
      </c>
      <c r="K206" s="11" t="n">
        <v>136</v>
      </c>
      <c r="L206" s="11" t="n">
        <v>139</v>
      </c>
      <c r="M206" s="11" t="n">
        <v>142</v>
      </c>
      <c r="N206" s="11" t="n">
        <v>147</v>
      </c>
      <c r="O206" s="11" t="n">
        <v>154</v>
      </c>
      <c r="P206" s="11" t="n">
        <v>139.18636</v>
      </c>
      <c r="Q206" s="6" t="n">
        <v>79</v>
      </c>
      <c r="R206" s="6" t="n">
        <v>30</v>
      </c>
      <c r="S206" s="12" t="n">
        <v>0.0279</v>
      </c>
      <c r="T206" s="13" t="n">
        <v>0.9094</v>
      </c>
      <c r="U206" s="6" t="n">
        <v>25</v>
      </c>
      <c r="V206" s="7" t="s">
        <v>39</v>
      </c>
    </row>
    <row r="207" customFormat="false" ht="15" hidden="false" customHeight="false" outlineLevel="0" collapsed="false">
      <c r="A207" s="14" t="n">
        <v>206</v>
      </c>
      <c r="B207" s="14" t="s">
        <v>634</v>
      </c>
      <c r="C207" s="15" t="s">
        <v>63</v>
      </c>
      <c r="D207" s="16" t="s">
        <v>635</v>
      </c>
      <c r="E207" s="15" t="s">
        <v>72</v>
      </c>
      <c r="F207" s="15" t="s">
        <v>486</v>
      </c>
      <c r="G207" s="17" t="n">
        <v>0</v>
      </c>
      <c r="H207" s="16" t="s">
        <v>636</v>
      </c>
      <c r="I207" s="19" t="n">
        <v>2</v>
      </c>
      <c r="J207" s="19" t="n">
        <v>2</v>
      </c>
      <c r="K207" s="19" t="n">
        <v>2</v>
      </c>
      <c r="L207" s="19" t="n">
        <v>3</v>
      </c>
      <c r="M207" s="19" t="n">
        <v>5</v>
      </c>
      <c r="N207" s="19" t="n">
        <v>9</v>
      </c>
      <c r="O207" s="19" t="n">
        <v>15</v>
      </c>
      <c r="P207" s="19" t="n">
        <v>4.20627</v>
      </c>
      <c r="Q207" s="14" t="n">
        <v>30</v>
      </c>
      <c r="R207" s="14" t="n">
        <v>93</v>
      </c>
      <c r="S207" s="20" t="n">
        <v>0.00746</v>
      </c>
      <c r="T207" s="21" t="n">
        <v>0.24304</v>
      </c>
      <c r="U207" s="14" t="n">
        <v>9</v>
      </c>
      <c r="V207" s="15" t="s">
        <v>39</v>
      </c>
    </row>
    <row r="208" customFormat="false" ht="29.85" hidden="false" customHeight="false" outlineLevel="0" collapsed="false">
      <c r="A208" s="6" t="n">
        <v>207</v>
      </c>
      <c r="B208" s="6" t="s">
        <v>637</v>
      </c>
      <c r="C208" s="7" t="s">
        <v>87</v>
      </c>
      <c r="D208" s="10" t="s">
        <v>638</v>
      </c>
      <c r="E208" s="7" t="s">
        <v>36</v>
      </c>
      <c r="F208" s="6" t="s">
        <v>93</v>
      </c>
      <c r="G208" s="9" t="n">
        <v>79.7</v>
      </c>
      <c r="H208" s="10" t="s">
        <v>639</v>
      </c>
      <c r="I208" s="11" t="n">
        <v>0</v>
      </c>
      <c r="J208" s="11" t="n">
        <v>20</v>
      </c>
      <c r="K208" s="11" t="n">
        <v>100</v>
      </c>
      <c r="L208" s="11" t="n">
        <v>250</v>
      </c>
      <c r="M208" s="11" t="n">
        <v>500</v>
      </c>
      <c r="N208" s="11" t="n">
        <v>1475</v>
      </c>
      <c r="O208" s="11" t="n">
        <v>3827.45</v>
      </c>
      <c r="P208" s="11" t="n">
        <v>458.52469</v>
      </c>
      <c r="Q208" s="6" t="n">
        <v>257</v>
      </c>
      <c r="R208" s="6" t="n">
        <v>135</v>
      </c>
      <c r="S208" s="12" t="n">
        <v>0.00309</v>
      </c>
      <c r="T208" s="13" t="n">
        <v>0.10081</v>
      </c>
      <c r="U208" s="6" t="n">
        <v>8</v>
      </c>
      <c r="V208" s="7" t="s">
        <v>39</v>
      </c>
    </row>
    <row r="209" customFormat="false" ht="29.85" hidden="false" customHeight="false" outlineLevel="0" collapsed="false">
      <c r="A209" s="14" t="n">
        <v>208</v>
      </c>
      <c r="B209" s="14" t="s">
        <v>640</v>
      </c>
      <c r="C209" s="15" t="s">
        <v>87</v>
      </c>
      <c r="D209" s="16" t="s">
        <v>641</v>
      </c>
      <c r="E209" s="15" t="s">
        <v>72</v>
      </c>
      <c r="F209" s="15" t="s">
        <v>486</v>
      </c>
      <c r="G209" s="17" t="n">
        <v>0</v>
      </c>
      <c r="H209" s="16" t="s">
        <v>642</v>
      </c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3</v>
      </c>
      <c r="O209" s="19" t="n">
        <v>7</v>
      </c>
      <c r="P209" s="19" t="n">
        <v>0.56036</v>
      </c>
      <c r="Q209" s="14" t="n">
        <v>34</v>
      </c>
      <c r="R209" s="14" t="n">
        <v>173</v>
      </c>
      <c r="S209" s="20" t="n">
        <v>0.00062</v>
      </c>
      <c r="T209" s="21" t="n">
        <v>0.02031</v>
      </c>
      <c r="U209" s="14" t="n">
        <v>2</v>
      </c>
      <c r="V209" s="15" t="s">
        <v>39</v>
      </c>
    </row>
    <row r="210" customFormat="false" ht="15" hidden="false" customHeight="false" outlineLevel="0" collapsed="false">
      <c r="A210" s="6" t="n">
        <v>209</v>
      </c>
      <c r="B210" s="6" t="s">
        <v>643</v>
      </c>
      <c r="C210" s="7" t="s">
        <v>63</v>
      </c>
      <c r="D210" s="10" t="s">
        <v>644</v>
      </c>
      <c r="E210" s="7" t="s">
        <v>36</v>
      </c>
      <c r="F210" s="6" t="s">
        <v>65</v>
      </c>
      <c r="G210" s="9" t="n">
        <v>0.6</v>
      </c>
      <c r="H210" s="10" t="s">
        <v>645</v>
      </c>
      <c r="I210" s="11" t="n">
        <v>1.675</v>
      </c>
      <c r="J210" s="11" t="n">
        <v>2.079</v>
      </c>
      <c r="K210" s="11" t="n">
        <v>2.7</v>
      </c>
      <c r="L210" s="11" t="n">
        <v>3.16</v>
      </c>
      <c r="M210" s="11" t="n">
        <v>3.7</v>
      </c>
      <c r="N210" s="11" t="n">
        <v>4.72952</v>
      </c>
      <c r="O210" s="11" t="n">
        <v>6.15</v>
      </c>
      <c r="P210" s="11" t="n">
        <v>3.25841</v>
      </c>
      <c r="Q210" s="6" t="n">
        <v>1265</v>
      </c>
      <c r="R210" s="6" t="n">
        <v>115</v>
      </c>
      <c r="S210" s="12" t="n">
        <v>0.00493</v>
      </c>
      <c r="T210" s="13" t="n">
        <v>0.16069</v>
      </c>
      <c r="U210" s="6" t="n">
        <v>18</v>
      </c>
      <c r="V210" s="7" t="s">
        <v>39</v>
      </c>
    </row>
    <row r="211" customFormat="false" ht="15" hidden="false" customHeight="false" outlineLevel="0" collapsed="false">
      <c r="A211" s="14" t="n">
        <v>210</v>
      </c>
      <c r="B211" s="14" t="s">
        <v>646</v>
      </c>
      <c r="C211" s="15" t="s">
        <v>63</v>
      </c>
      <c r="D211" s="16" t="s">
        <v>647</v>
      </c>
      <c r="E211" s="15" t="s">
        <v>36</v>
      </c>
      <c r="F211" s="14" t="s">
        <v>65</v>
      </c>
      <c r="G211" s="17" t="n">
        <v>0.6</v>
      </c>
      <c r="H211" s="16" t="s">
        <v>648</v>
      </c>
      <c r="I211" s="19" t="n">
        <v>1</v>
      </c>
      <c r="J211" s="19" t="n">
        <v>1.4</v>
      </c>
      <c r="K211" s="19" t="n">
        <v>2.2</v>
      </c>
      <c r="L211" s="19" t="n">
        <v>2.7</v>
      </c>
      <c r="M211" s="19" t="n">
        <v>3.3</v>
      </c>
      <c r="N211" s="19" t="n">
        <v>4.2</v>
      </c>
      <c r="O211" s="19" t="n">
        <v>5.4</v>
      </c>
      <c r="P211" s="19" t="n">
        <v>2.75032</v>
      </c>
      <c r="Q211" s="14" t="n">
        <v>85</v>
      </c>
      <c r="R211" s="14" t="n">
        <v>110</v>
      </c>
      <c r="S211" s="20" t="n">
        <v>0.00514</v>
      </c>
      <c r="T211" s="21" t="n">
        <v>0.1677</v>
      </c>
      <c r="U211" s="14" t="n">
        <v>12</v>
      </c>
      <c r="V211" s="15" t="s">
        <v>39</v>
      </c>
    </row>
    <row r="212" customFormat="false" ht="15" hidden="false" customHeight="false" outlineLevel="0" collapsed="false">
      <c r="A212" s="6" t="n">
        <v>211</v>
      </c>
      <c r="B212" s="6" t="s">
        <v>649</v>
      </c>
      <c r="C212" s="7" t="s">
        <v>63</v>
      </c>
      <c r="D212" s="10" t="s">
        <v>650</v>
      </c>
      <c r="E212" s="7" t="s">
        <v>36</v>
      </c>
      <c r="F212" s="6" t="s">
        <v>65</v>
      </c>
      <c r="G212" s="9" t="n">
        <v>0.6</v>
      </c>
      <c r="H212" s="10" t="s">
        <v>651</v>
      </c>
      <c r="I212" s="11" t="n">
        <v>2</v>
      </c>
      <c r="J212" s="11" t="n">
        <v>2.4</v>
      </c>
      <c r="K212" s="11" t="n">
        <v>3.1</v>
      </c>
      <c r="L212" s="11" t="n">
        <v>3.6</v>
      </c>
      <c r="M212" s="11" t="n">
        <v>4.3</v>
      </c>
      <c r="N212" s="11" t="n">
        <v>5.7</v>
      </c>
      <c r="O212" s="11" t="n">
        <v>7.7</v>
      </c>
      <c r="P212" s="11" t="n">
        <v>3.80057</v>
      </c>
      <c r="Q212" s="6" t="n">
        <v>113</v>
      </c>
      <c r="R212" s="6" t="n">
        <v>76</v>
      </c>
      <c r="S212" s="12" t="n">
        <v>0.01091</v>
      </c>
      <c r="T212" s="13" t="n">
        <v>0.35553</v>
      </c>
      <c r="U212" s="6" t="n">
        <v>27</v>
      </c>
      <c r="V212" s="7" t="s">
        <v>39</v>
      </c>
    </row>
    <row r="213" customFormat="false" ht="15" hidden="false" customHeight="false" outlineLevel="0" collapsed="false">
      <c r="A213" s="14" t="n">
        <v>212</v>
      </c>
      <c r="B213" s="14" t="s">
        <v>652</v>
      </c>
      <c r="C213" s="15" t="s">
        <v>63</v>
      </c>
      <c r="D213" s="16" t="s">
        <v>653</v>
      </c>
      <c r="E213" s="15" t="s">
        <v>36</v>
      </c>
      <c r="F213" s="14" t="s">
        <v>65</v>
      </c>
      <c r="G213" s="17" t="n">
        <v>0.6</v>
      </c>
      <c r="H213" s="16" t="s">
        <v>654</v>
      </c>
      <c r="I213" s="19" t="n">
        <v>1.3</v>
      </c>
      <c r="J213" s="19" t="n">
        <v>1.7</v>
      </c>
      <c r="K213" s="19" t="n">
        <v>2.4</v>
      </c>
      <c r="L213" s="19" t="n">
        <v>3</v>
      </c>
      <c r="M213" s="19" t="n">
        <v>3.6</v>
      </c>
      <c r="N213" s="19" t="n">
        <v>4.7</v>
      </c>
      <c r="O213" s="19" t="n">
        <v>6</v>
      </c>
      <c r="P213" s="19" t="n">
        <v>3.0731</v>
      </c>
      <c r="Q213" s="14" t="n">
        <v>86</v>
      </c>
      <c r="R213" s="14" t="n">
        <v>27</v>
      </c>
      <c r="S213" s="20" t="n">
        <v>0.02998</v>
      </c>
      <c r="T213" s="21" t="n">
        <v>0.97721</v>
      </c>
      <c r="U213" s="14" t="n">
        <v>43</v>
      </c>
      <c r="V213" s="15" t="s">
        <v>39</v>
      </c>
    </row>
    <row r="214" customFormat="false" ht="15" hidden="false" customHeight="false" outlineLevel="0" collapsed="false">
      <c r="A214" s="6" t="n">
        <v>213</v>
      </c>
      <c r="B214" s="6" t="s">
        <v>655</v>
      </c>
      <c r="C214" s="7" t="s">
        <v>63</v>
      </c>
      <c r="D214" s="10" t="s">
        <v>656</v>
      </c>
      <c r="E214" s="7" t="s">
        <v>72</v>
      </c>
      <c r="F214" s="7" t="s">
        <v>486</v>
      </c>
      <c r="G214" s="9" t="n">
        <v>0</v>
      </c>
      <c r="H214" s="10" t="s">
        <v>657</v>
      </c>
      <c r="I214" s="11" t="n">
        <v>1</v>
      </c>
      <c r="J214" s="11" t="n">
        <v>1</v>
      </c>
      <c r="K214" s="11" t="n">
        <v>2</v>
      </c>
      <c r="L214" s="11" t="n">
        <v>3</v>
      </c>
      <c r="M214" s="11" t="n">
        <v>4</v>
      </c>
      <c r="N214" s="11" t="n">
        <v>6</v>
      </c>
      <c r="O214" s="11" t="n">
        <v>9</v>
      </c>
      <c r="P214" s="11" t="n">
        <v>3.23736</v>
      </c>
      <c r="Q214" s="6" t="n">
        <v>19</v>
      </c>
      <c r="R214" s="6" t="n">
        <v>150</v>
      </c>
      <c r="S214" s="12" t="n">
        <v>0.00186</v>
      </c>
      <c r="T214" s="13" t="n">
        <v>0.06076</v>
      </c>
      <c r="U214" s="6" t="n">
        <v>3</v>
      </c>
      <c r="V214" s="7" t="s">
        <v>39</v>
      </c>
    </row>
    <row r="215" customFormat="false" ht="15" hidden="false" customHeight="false" outlineLevel="0" collapsed="false">
      <c r="A215" s="14" t="n">
        <v>214</v>
      </c>
      <c r="B215" s="14" t="s">
        <v>658</v>
      </c>
      <c r="C215" s="15" t="s">
        <v>519</v>
      </c>
      <c r="D215" s="16" t="s">
        <v>659</v>
      </c>
      <c r="E215" s="15" t="s">
        <v>36</v>
      </c>
      <c r="F215" s="15" t="s">
        <v>558</v>
      </c>
      <c r="G215" s="17" t="n">
        <v>0.4</v>
      </c>
      <c r="H215" s="16" t="s">
        <v>660</v>
      </c>
      <c r="I215" s="19" t="n">
        <v>12.93793</v>
      </c>
      <c r="J215" s="19" t="n">
        <v>14.48344</v>
      </c>
      <c r="K215" s="19" t="n">
        <v>16.82183</v>
      </c>
      <c r="L215" s="19" t="n">
        <v>19</v>
      </c>
      <c r="M215" s="19" t="n">
        <v>21.67025</v>
      </c>
      <c r="N215" s="19" t="n">
        <v>26.83371</v>
      </c>
      <c r="O215" s="19" t="n">
        <v>31.07245</v>
      </c>
      <c r="P215" s="19" t="n">
        <v>19.57063</v>
      </c>
      <c r="Q215" s="14" t="n">
        <v>8892</v>
      </c>
      <c r="R215" s="14" t="n">
        <v>25</v>
      </c>
      <c r="S215" s="20" t="n">
        <v>0.03185</v>
      </c>
      <c r="T215" s="21" t="n">
        <v>1.0382</v>
      </c>
      <c r="U215" s="14" t="n">
        <v>39</v>
      </c>
      <c r="V215" s="15" t="s">
        <v>39</v>
      </c>
    </row>
    <row r="216" customFormat="false" ht="15" hidden="false" customHeight="false" outlineLevel="0" collapsed="false">
      <c r="A216" s="6" t="n">
        <v>215</v>
      </c>
      <c r="B216" s="6" t="s">
        <v>661</v>
      </c>
      <c r="C216" s="7" t="s">
        <v>519</v>
      </c>
      <c r="D216" s="10" t="s">
        <v>662</v>
      </c>
      <c r="E216" s="7" t="s">
        <v>36</v>
      </c>
      <c r="F216" s="7" t="s">
        <v>558</v>
      </c>
      <c r="G216" s="9" t="n">
        <v>0.4</v>
      </c>
      <c r="H216" s="10" t="s">
        <v>663</v>
      </c>
      <c r="I216" s="11" t="n">
        <v>4</v>
      </c>
      <c r="J216" s="11" t="n">
        <v>6</v>
      </c>
      <c r="K216" s="11" t="n">
        <v>10</v>
      </c>
      <c r="L216" s="11" t="n">
        <v>12</v>
      </c>
      <c r="M216" s="11" t="n">
        <v>14</v>
      </c>
      <c r="N216" s="11" t="n">
        <v>18</v>
      </c>
      <c r="O216" s="11" t="n">
        <v>21</v>
      </c>
      <c r="P216" s="11" t="n">
        <v>11.90504</v>
      </c>
      <c r="Q216" s="6" t="n">
        <v>106</v>
      </c>
      <c r="R216" s="6" t="n">
        <v>140</v>
      </c>
      <c r="S216" s="12" t="n">
        <v>0.00246</v>
      </c>
      <c r="T216" s="13" t="n">
        <v>0.08007</v>
      </c>
      <c r="U216" s="6" t="n">
        <v>5</v>
      </c>
      <c r="V216" s="7" t="s">
        <v>39</v>
      </c>
    </row>
    <row r="217" customFormat="false" ht="15" hidden="false" customHeight="false" outlineLevel="0" collapsed="false">
      <c r="A217" s="14" t="n">
        <v>216</v>
      </c>
      <c r="B217" s="14" t="s">
        <v>664</v>
      </c>
      <c r="C217" s="15" t="s">
        <v>519</v>
      </c>
      <c r="D217" s="16" t="s">
        <v>665</v>
      </c>
      <c r="E217" s="15" t="s">
        <v>36</v>
      </c>
      <c r="F217" s="15" t="s">
        <v>558</v>
      </c>
      <c r="G217" s="17" t="n">
        <v>0.4</v>
      </c>
      <c r="H217" s="16" t="s">
        <v>666</v>
      </c>
      <c r="I217" s="19" t="n">
        <v>19</v>
      </c>
      <c r="J217" s="19" t="n">
        <v>21</v>
      </c>
      <c r="K217" s="19" t="n">
        <v>25</v>
      </c>
      <c r="L217" s="19" t="n">
        <v>29</v>
      </c>
      <c r="M217" s="19" t="n">
        <v>33</v>
      </c>
      <c r="N217" s="19" t="n">
        <v>42</v>
      </c>
      <c r="O217" s="19" t="n">
        <v>53</v>
      </c>
      <c r="P217" s="19" t="n">
        <v>29.82621</v>
      </c>
      <c r="Q217" s="14" t="n">
        <v>186</v>
      </c>
      <c r="R217" s="14" t="n">
        <v>57</v>
      </c>
      <c r="S217" s="20" t="n">
        <v>0.0156</v>
      </c>
      <c r="T217" s="21" t="n">
        <v>0.5085</v>
      </c>
      <c r="U217" s="14" t="n">
        <v>13</v>
      </c>
      <c r="V217" s="15" t="s">
        <v>39</v>
      </c>
    </row>
    <row r="218" customFormat="false" ht="15" hidden="false" customHeight="false" outlineLevel="0" collapsed="false">
      <c r="A218" s="6" t="n">
        <v>217</v>
      </c>
      <c r="B218" s="6" t="s">
        <v>667</v>
      </c>
      <c r="C218" s="7" t="s">
        <v>519</v>
      </c>
      <c r="D218" s="10" t="s">
        <v>668</v>
      </c>
      <c r="E218" s="7" t="s">
        <v>36</v>
      </c>
      <c r="F218" s="7" t="s">
        <v>558</v>
      </c>
      <c r="G218" s="9" t="n">
        <v>0.4</v>
      </c>
      <c r="H218" s="10" t="s">
        <v>669</v>
      </c>
      <c r="I218" s="11" t="n">
        <v>9</v>
      </c>
      <c r="J218" s="11" t="n">
        <v>12</v>
      </c>
      <c r="K218" s="11" t="n">
        <v>16</v>
      </c>
      <c r="L218" s="11" t="n">
        <v>19</v>
      </c>
      <c r="M218" s="11" t="n">
        <v>23</v>
      </c>
      <c r="N218" s="11" t="n">
        <v>30</v>
      </c>
      <c r="O218" s="11" t="n">
        <v>36</v>
      </c>
      <c r="P218" s="11" t="n">
        <v>19.6922</v>
      </c>
      <c r="Q218" s="6" t="n">
        <v>132</v>
      </c>
      <c r="R218" s="6" t="n">
        <v>90</v>
      </c>
      <c r="S218" s="12" t="n">
        <v>0.00809</v>
      </c>
      <c r="T218" s="13" t="n">
        <v>0.26372</v>
      </c>
      <c r="U218" s="6" t="n">
        <v>17</v>
      </c>
      <c r="V218" s="7" t="s">
        <v>39</v>
      </c>
    </row>
    <row r="219" customFormat="false" ht="15" hidden="false" customHeight="false" outlineLevel="0" collapsed="false">
      <c r="A219" s="14" t="n">
        <v>218</v>
      </c>
      <c r="B219" s="14" t="s">
        <v>670</v>
      </c>
      <c r="C219" s="15" t="s">
        <v>519</v>
      </c>
      <c r="D219" s="16" t="s">
        <v>671</v>
      </c>
      <c r="E219" s="15" t="s">
        <v>72</v>
      </c>
      <c r="F219" s="15" t="s">
        <v>486</v>
      </c>
      <c r="G219" s="17" t="n">
        <v>0</v>
      </c>
      <c r="H219" s="16" t="s">
        <v>672</v>
      </c>
      <c r="I219" s="19" t="n">
        <v>15</v>
      </c>
      <c r="J219" s="19" t="n">
        <v>32</v>
      </c>
      <c r="K219" s="19" t="n">
        <v>43</v>
      </c>
      <c r="L219" s="19" t="n">
        <v>46</v>
      </c>
      <c r="M219" s="19" t="n">
        <v>47</v>
      </c>
      <c r="N219" s="19" t="n">
        <v>48</v>
      </c>
      <c r="O219" s="19" t="n">
        <v>48</v>
      </c>
      <c r="P219" s="19" t="n">
        <v>43.68582</v>
      </c>
      <c r="Q219" s="14" t="n">
        <v>49</v>
      </c>
      <c r="R219" s="14" t="n">
        <v>103</v>
      </c>
      <c r="S219" s="20" t="n">
        <v>0.00635</v>
      </c>
      <c r="T219" s="21" t="n">
        <v>0.20697</v>
      </c>
      <c r="U219" s="14" t="n">
        <v>9</v>
      </c>
      <c r="V219" s="15" t="s">
        <v>39</v>
      </c>
    </row>
    <row r="220" customFormat="false" ht="29.85" hidden="false" customHeight="false" outlineLevel="0" collapsed="false">
      <c r="A220" s="6" t="n">
        <v>219</v>
      </c>
      <c r="B220" s="6" t="s">
        <v>673</v>
      </c>
      <c r="C220" s="7" t="s">
        <v>519</v>
      </c>
      <c r="D220" s="10" t="s">
        <v>674</v>
      </c>
      <c r="E220" s="7" t="s">
        <v>36</v>
      </c>
      <c r="F220" s="6" t="s">
        <v>521</v>
      </c>
      <c r="G220" s="9" t="n">
        <v>0.5</v>
      </c>
      <c r="H220" s="10" t="s">
        <v>675</v>
      </c>
      <c r="I220" s="11" t="n">
        <v>90.13447</v>
      </c>
      <c r="J220" s="11" t="n">
        <v>97.47784</v>
      </c>
      <c r="K220" s="11" t="n">
        <v>108.97207</v>
      </c>
      <c r="L220" s="11" t="n">
        <v>119.86111</v>
      </c>
      <c r="M220" s="11" t="n">
        <v>132.18406</v>
      </c>
      <c r="N220" s="11" t="n">
        <v>149.63249</v>
      </c>
      <c r="O220" s="11" t="n">
        <v>163.48513</v>
      </c>
      <c r="P220" s="11" t="n">
        <v>121.26628</v>
      </c>
      <c r="Q220" s="6" t="n">
        <v>10296</v>
      </c>
      <c r="R220" s="6" t="n">
        <v>33</v>
      </c>
      <c r="S220" s="12" t="n">
        <v>0.0254</v>
      </c>
      <c r="T220" s="13" t="n">
        <v>0.82794</v>
      </c>
      <c r="U220" s="6" t="n">
        <v>32</v>
      </c>
      <c r="V220" s="7" t="s">
        <v>39</v>
      </c>
    </row>
    <row r="221" customFormat="false" ht="29.85" hidden="false" customHeight="false" outlineLevel="0" collapsed="false">
      <c r="A221" s="14" t="n">
        <v>220</v>
      </c>
      <c r="B221" s="14" t="s">
        <v>676</v>
      </c>
      <c r="C221" s="15" t="s">
        <v>519</v>
      </c>
      <c r="D221" s="16" t="s">
        <v>677</v>
      </c>
      <c r="E221" s="15" t="s">
        <v>36</v>
      </c>
      <c r="F221" s="14" t="s">
        <v>521</v>
      </c>
      <c r="G221" s="17" t="n">
        <v>0.5</v>
      </c>
      <c r="H221" s="16" t="s">
        <v>678</v>
      </c>
      <c r="I221" s="19" t="n">
        <v>62</v>
      </c>
      <c r="J221" s="19" t="n">
        <v>72</v>
      </c>
      <c r="K221" s="19" t="n">
        <v>83</v>
      </c>
      <c r="L221" s="19" t="n">
        <v>92</v>
      </c>
      <c r="M221" s="19" t="n">
        <v>102</v>
      </c>
      <c r="N221" s="19" t="n">
        <v>119</v>
      </c>
      <c r="O221" s="19" t="n">
        <v>133</v>
      </c>
      <c r="P221" s="19" t="n">
        <v>93.12741</v>
      </c>
      <c r="Q221" s="14" t="n">
        <v>403</v>
      </c>
      <c r="R221" s="14" t="n">
        <v>86</v>
      </c>
      <c r="S221" s="20" t="n">
        <v>0.0096</v>
      </c>
      <c r="T221" s="21" t="n">
        <v>0.31305</v>
      </c>
      <c r="U221" s="14" t="n">
        <v>21</v>
      </c>
      <c r="V221" s="15" t="s">
        <v>39</v>
      </c>
    </row>
    <row r="222" customFormat="false" ht="29.85" hidden="false" customHeight="false" outlineLevel="0" collapsed="false">
      <c r="A222" s="6" t="n">
        <v>221</v>
      </c>
      <c r="B222" s="6" t="s">
        <v>679</v>
      </c>
      <c r="C222" s="7" t="s">
        <v>519</v>
      </c>
      <c r="D222" s="10" t="s">
        <v>680</v>
      </c>
      <c r="E222" s="7" t="s">
        <v>36</v>
      </c>
      <c r="F222" s="6" t="s">
        <v>521</v>
      </c>
      <c r="G222" s="9" t="n">
        <v>0.5</v>
      </c>
      <c r="H222" s="10" t="s">
        <v>681</v>
      </c>
      <c r="I222" s="11" t="n">
        <v>107</v>
      </c>
      <c r="J222" s="11" t="n">
        <v>119</v>
      </c>
      <c r="K222" s="11" t="n">
        <v>137</v>
      </c>
      <c r="L222" s="11" t="n">
        <v>152</v>
      </c>
      <c r="M222" s="11" t="n">
        <v>166</v>
      </c>
      <c r="N222" s="11" t="n">
        <v>190</v>
      </c>
      <c r="O222" s="11" t="n">
        <v>211</v>
      </c>
      <c r="P222" s="11" t="n">
        <v>152.68608</v>
      </c>
      <c r="Q222" s="6" t="n">
        <v>524</v>
      </c>
      <c r="R222" s="6" t="n">
        <v>32</v>
      </c>
      <c r="S222" s="12" t="n">
        <v>0.02653</v>
      </c>
      <c r="T222" s="13" t="n">
        <v>0.86477</v>
      </c>
      <c r="U222" s="6" t="n">
        <v>27</v>
      </c>
      <c r="V222" s="7" t="s">
        <v>39</v>
      </c>
    </row>
    <row r="223" customFormat="false" ht="29.85" hidden="false" customHeight="false" outlineLevel="0" collapsed="false">
      <c r="A223" s="14" t="n">
        <v>222</v>
      </c>
      <c r="B223" s="14" t="s">
        <v>682</v>
      </c>
      <c r="C223" s="15" t="s">
        <v>519</v>
      </c>
      <c r="D223" s="16" t="s">
        <v>683</v>
      </c>
      <c r="E223" s="15" t="s">
        <v>36</v>
      </c>
      <c r="F223" s="14" t="s">
        <v>521</v>
      </c>
      <c r="G223" s="17" t="n">
        <v>0.5</v>
      </c>
      <c r="H223" s="16" t="s">
        <v>684</v>
      </c>
      <c r="I223" s="19" t="n">
        <v>82</v>
      </c>
      <c r="J223" s="19" t="n">
        <v>91</v>
      </c>
      <c r="K223" s="19" t="n">
        <v>106</v>
      </c>
      <c r="L223" s="19" t="n">
        <v>122</v>
      </c>
      <c r="M223" s="19" t="n">
        <v>137</v>
      </c>
      <c r="N223" s="19" t="n">
        <v>160</v>
      </c>
      <c r="O223" s="19" t="n">
        <v>178</v>
      </c>
      <c r="P223" s="19" t="n">
        <v>122.95357</v>
      </c>
      <c r="Q223" s="14" t="n">
        <v>337</v>
      </c>
      <c r="R223" s="14" t="n">
        <v>59</v>
      </c>
      <c r="S223" s="20" t="n">
        <v>0.0151</v>
      </c>
      <c r="T223" s="21" t="n">
        <v>0.49224</v>
      </c>
      <c r="U223" s="14" t="n">
        <v>26</v>
      </c>
      <c r="V223" s="15" t="s">
        <v>39</v>
      </c>
    </row>
    <row r="224" customFormat="false" ht="29.85" hidden="false" customHeight="false" outlineLevel="0" collapsed="false">
      <c r="A224" s="6" t="n">
        <v>223</v>
      </c>
      <c r="B224" s="6" t="s">
        <v>685</v>
      </c>
      <c r="C224" s="7" t="s">
        <v>519</v>
      </c>
      <c r="D224" s="10" t="s">
        <v>686</v>
      </c>
      <c r="E224" s="7" t="s">
        <v>72</v>
      </c>
      <c r="F224" s="7" t="s">
        <v>486</v>
      </c>
      <c r="G224" s="9" t="n">
        <v>0</v>
      </c>
      <c r="H224" s="10" t="s">
        <v>534</v>
      </c>
      <c r="I224" s="11" t="n">
        <v>4</v>
      </c>
      <c r="J224" s="11" t="n">
        <v>23</v>
      </c>
      <c r="K224" s="11" t="n">
        <v>41</v>
      </c>
      <c r="L224" s="11" t="n">
        <v>45</v>
      </c>
      <c r="M224" s="11" t="n">
        <v>46</v>
      </c>
      <c r="N224" s="11" t="n">
        <v>48</v>
      </c>
      <c r="O224" s="11" t="n">
        <v>48</v>
      </c>
      <c r="P224" s="11" t="n">
        <v>41.33064</v>
      </c>
      <c r="Q224" s="6" t="n">
        <v>49</v>
      </c>
      <c r="R224" s="6" t="n">
        <v>104</v>
      </c>
      <c r="S224" s="12" t="n">
        <v>0.00591</v>
      </c>
      <c r="T224" s="13" t="n">
        <v>0.19252</v>
      </c>
      <c r="U224" s="6" t="n">
        <v>9</v>
      </c>
      <c r="V224" s="7" t="s">
        <v>39</v>
      </c>
    </row>
    <row r="225" customFormat="false" ht="15" hidden="false" customHeight="false" outlineLevel="0" collapsed="false">
      <c r="A225" s="14" t="n">
        <v>224</v>
      </c>
      <c r="B225" s="14" t="s">
        <v>687</v>
      </c>
      <c r="C225" s="15" t="s">
        <v>87</v>
      </c>
      <c r="D225" s="16" t="s">
        <v>688</v>
      </c>
      <c r="E225" s="15" t="s">
        <v>36</v>
      </c>
      <c r="F225" s="14" t="s">
        <v>93</v>
      </c>
      <c r="G225" s="17" t="n">
        <v>94.9</v>
      </c>
      <c r="H225" s="16" t="s">
        <v>689</v>
      </c>
      <c r="I225" s="19" t="n">
        <v>0</v>
      </c>
      <c r="J225" s="19" t="n">
        <v>0</v>
      </c>
      <c r="K225" s="19" t="n">
        <v>150</v>
      </c>
      <c r="L225" s="19" t="n">
        <v>500</v>
      </c>
      <c r="M225" s="19" t="n">
        <v>1300</v>
      </c>
      <c r="N225" s="19" t="n">
        <v>3860</v>
      </c>
      <c r="O225" s="19" t="n">
        <v>5739.2</v>
      </c>
      <c r="P225" s="19" t="n">
        <v>1000.76302</v>
      </c>
      <c r="Q225" s="14" t="n">
        <v>171</v>
      </c>
      <c r="R225" s="14" t="n">
        <v>127</v>
      </c>
      <c r="S225" s="20" t="n">
        <v>0.00378</v>
      </c>
      <c r="T225" s="21" t="n">
        <v>0.12307</v>
      </c>
      <c r="U225" s="14" t="n">
        <v>6</v>
      </c>
      <c r="V225" s="15" t="s">
        <v>39</v>
      </c>
    </row>
    <row r="226" customFormat="false" ht="15" hidden="false" customHeight="false" outlineLevel="0" collapsed="false">
      <c r="A226" s="6" t="n">
        <v>225</v>
      </c>
      <c r="B226" s="6" t="s">
        <v>690</v>
      </c>
      <c r="C226" s="7" t="s">
        <v>87</v>
      </c>
      <c r="D226" s="10" t="s">
        <v>691</v>
      </c>
      <c r="E226" s="7" t="s">
        <v>72</v>
      </c>
      <c r="F226" s="7" t="s">
        <v>486</v>
      </c>
      <c r="G226" s="9" t="n">
        <v>0</v>
      </c>
      <c r="H226" s="10" t="s">
        <v>692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1</v>
      </c>
      <c r="O226" s="11" t="n">
        <v>5</v>
      </c>
      <c r="P226" s="11" t="n">
        <v>0.16036</v>
      </c>
      <c r="Q226" s="6" t="n">
        <v>20</v>
      </c>
      <c r="R226" s="6" t="n">
        <v>175</v>
      </c>
      <c r="S226" s="12" t="n">
        <v>0.00061</v>
      </c>
      <c r="T226" s="13" t="n">
        <v>0.01994</v>
      </c>
      <c r="U226" s="6" t="n">
        <v>1</v>
      </c>
      <c r="V226" s="7" t="s">
        <v>39</v>
      </c>
    </row>
    <row r="227" customFormat="false" ht="15" hidden="false" customHeight="false" outlineLevel="0" collapsed="false">
      <c r="A227" s="14" t="n">
        <v>226</v>
      </c>
      <c r="B227" s="14" t="s">
        <v>693</v>
      </c>
      <c r="C227" s="15" t="s">
        <v>519</v>
      </c>
      <c r="D227" s="16" t="s">
        <v>694</v>
      </c>
      <c r="E227" s="15" t="s">
        <v>36</v>
      </c>
      <c r="F227" s="14" t="s">
        <v>695</v>
      </c>
      <c r="G227" s="17" t="n">
        <v>1</v>
      </c>
      <c r="H227" s="16" t="s">
        <v>696</v>
      </c>
      <c r="I227" s="19" t="n">
        <v>35.93056</v>
      </c>
      <c r="J227" s="19" t="n">
        <v>36.35926</v>
      </c>
      <c r="K227" s="19" t="n">
        <v>36.71296</v>
      </c>
      <c r="L227" s="19" t="n">
        <v>36.90598</v>
      </c>
      <c r="M227" s="19" t="n">
        <v>37.18803</v>
      </c>
      <c r="N227" s="19" t="n">
        <v>37.75556</v>
      </c>
      <c r="O227" s="19" t="n">
        <v>38.15461</v>
      </c>
      <c r="P227" s="19" t="n">
        <v>36.96163</v>
      </c>
      <c r="Q227" s="14" t="n">
        <v>5220</v>
      </c>
      <c r="R227" s="14" t="n">
        <v>21</v>
      </c>
      <c r="S227" s="20" t="n">
        <v>0.0372</v>
      </c>
      <c r="T227" s="21" t="n">
        <v>1.21247</v>
      </c>
      <c r="U227" s="14" t="n">
        <v>43</v>
      </c>
      <c r="V227" s="15" t="s">
        <v>39</v>
      </c>
    </row>
    <row r="228" customFormat="false" ht="15" hidden="false" customHeight="false" outlineLevel="0" collapsed="false">
      <c r="A228" s="6" t="n">
        <v>227</v>
      </c>
      <c r="B228" s="6" t="s">
        <v>697</v>
      </c>
      <c r="C228" s="7" t="s">
        <v>519</v>
      </c>
      <c r="D228" s="10" t="s">
        <v>698</v>
      </c>
      <c r="E228" s="7" t="s">
        <v>36</v>
      </c>
      <c r="F228" s="6" t="s">
        <v>695</v>
      </c>
      <c r="G228" s="9" t="n">
        <v>1</v>
      </c>
      <c r="H228" s="10" t="s">
        <v>699</v>
      </c>
      <c r="I228" s="11" t="n">
        <v>34.1</v>
      </c>
      <c r="J228" s="11" t="n">
        <v>35.33333</v>
      </c>
      <c r="K228" s="11" t="n">
        <v>36.16667</v>
      </c>
      <c r="L228" s="11" t="n">
        <v>36.44444</v>
      </c>
      <c r="M228" s="11" t="n">
        <v>36.61111</v>
      </c>
      <c r="N228" s="11" t="n">
        <v>36.94444</v>
      </c>
      <c r="O228" s="11" t="n">
        <v>37.22222</v>
      </c>
      <c r="P228" s="11" t="n">
        <v>36.31934</v>
      </c>
      <c r="Q228" s="6" t="n">
        <v>321</v>
      </c>
      <c r="R228" s="6" t="n">
        <v>17</v>
      </c>
      <c r="S228" s="12" t="n">
        <v>0.04251</v>
      </c>
      <c r="T228" s="13" t="n">
        <v>1.38557</v>
      </c>
      <c r="U228" s="6" t="n">
        <v>32</v>
      </c>
      <c r="V228" s="7" t="s">
        <v>39</v>
      </c>
    </row>
    <row r="229" customFormat="false" ht="15" hidden="false" customHeight="false" outlineLevel="0" collapsed="false">
      <c r="A229" s="14" t="n">
        <v>228</v>
      </c>
      <c r="B229" s="14" t="s">
        <v>700</v>
      </c>
      <c r="C229" s="15" t="s">
        <v>519</v>
      </c>
      <c r="D229" s="16" t="s">
        <v>701</v>
      </c>
      <c r="E229" s="15" t="s">
        <v>36</v>
      </c>
      <c r="F229" s="14" t="s">
        <v>695</v>
      </c>
      <c r="G229" s="17" t="n">
        <v>1</v>
      </c>
      <c r="H229" s="16" t="s">
        <v>702</v>
      </c>
      <c r="I229" s="19" t="n">
        <v>36.55556</v>
      </c>
      <c r="J229" s="19" t="n">
        <v>36.83333</v>
      </c>
      <c r="K229" s="19" t="n">
        <v>37.11111</v>
      </c>
      <c r="L229" s="19" t="n">
        <v>37.44444</v>
      </c>
      <c r="M229" s="19" t="n">
        <v>38</v>
      </c>
      <c r="N229" s="19" t="n">
        <v>39.16667</v>
      </c>
      <c r="O229" s="19" t="n">
        <v>39.61111</v>
      </c>
      <c r="P229" s="19" t="n">
        <v>37.63862</v>
      </c>
      <c r="Q229" s="14" t="n">
        <v>226</v>
      </c>
      <c r="R229" s="14" t="n">
        <v>78</v>
      </c>
      <c r="S229" s="20" t="n">
        <v>0.01068</v>
      </c>
      <c r="T229" s="21" t="n">
        <v>0.34822</v>
      </c>
      <c r="U229" s="14" t="n">
        <v>30</v>
      </c>
      <c r="V229" s="15" t="s">
        <v>39</v>
      </c>
    </row>
    <row r="230" customFormat="false" ht="15" hidden="false" customHeight="false" outlineLevel="0" collapsed="false">
      <c r="A230" s="6" t="n">
        <v>229</v>
      </c>
      <c r="B230" s="6" t="s">
        <v>703</v>
      </c>
      <c r="C230" s="7" t="s">
        <v>519</v>
      </c>
      <c r="D230" s="10" t="s">
        <v>704</v>
      </c>
      <c r="E230" s="7" t="s">
        <v>36</v>
      </c>
      <c r="F230" s="6" t="s">
        <v>695</v>
      </c>
      <c r="G230" s="9" t="n">
        <v>1</v>
      </c>
      <c r="H230" s="10" t="s">
        <v>705</v>
      </c>
      <c r="I230" s="11" t="n">
        <v>35.61111</v>
      </c>
      <c r="J230" s="11" t="n">
        <v>36.16667</v>
      </c>
      <c r="K230" s="11" t="n">
        <v>36.66667</v>
      </c>
      <c r="L230" s="11" t="n">
        <v>36.88889</v>
      </c>
      <c r="M230" s="11" t="n">
        <v>37.22222</v>
      </c>
      <c r="N230" s="11" t="n">
        <v>37.94444</v>
      </c>
      <c r="O230" s="11" t="n">
        <v>38.61111</v>
      </c>
      <c r="P230" s="11" t="n">
        <v>36.95891</v>
      </c>
      <c r="Q230" s="6" t="n">
        <v>185</v>
      </c>
      <c r="R230" s="6" t="n">
        <v>81</v>
      </c>
      <c r="S230" s="12" t="n">
        <v>0.01048</v>
      </c>
      <c r="T230" s="13" t="n">
        <v>0.34157</v>
      </c>
      <c r="U230" s="6" t="n">
        <v>27</v>
      </c>
      <c r="V230" s="7" t="s">
        <v>39</v>
      </c>
    </row>
    <row r="231" customFormat="false" ht="15" hidden="false" customHeight="false" outlineLevel="0" collapsed="false">
      <c r="A231" s="14" t="n">
        <v>230</v>
      </c>
      <c r="B231" s="14" t="s">
        <v>706</v>
      </c>
      <c r="C231" s="15" t="s">
        <v>519</v>
      </c>
      <c r="D231" s="16" t="s">
        <v>707</v>
      </c>
      <c r="E231" s="15" t="s">
        <v>72</v>
      </c>
      <c r="F231" s="15" t="s">
        <v>486</v>
      </c>
      <c r="G231" s="17" t="n">
        <v>0</v>
      </c>
      <c r="H231" s="16" t="s">
        <v>708</v>
      </c>
      <c r="I231" s="19" t="n">
        <v>0</v>
      </c>
      <c r="J231" s="19" t="n">
        <v>9</v>
      </c>
      <c r="K231" s="19" t="n">
        <v>11</v>
      </c>
      <c r="L231" s="19" t="n">
        <v>12</v>
      </c>
      <c r="M231" s="19" t="n">
        <v>14</v>
      </c>
      <c r="N231" s="19" t="n">
        <v>23</v>
      </c>
      <c r="O231" s="19" t="n">
        <v>42</v>
      </c>
      <c r="P231" s="19" t="n">
        <v>13.62409</v>
      </c>
      <c r="Q231" s="14" t="n">
        <v>49</v>
      </c>
      <c r="R231" s="14" t="n">
        <v>147</v>
      </c>
      <c r="S231" s="20" t="n">
        <v>0.00207</v>
      </c>
      <c r="T231" s="21" t="n">
        <v>0.06744</v>
      </c>
      <c r="U231" s="14" t="n">
        <v>6</v>
      </c>
      <c r="V231" s="15" t="s">
        <v>39</v>
      </c>
    </row>
    <row r="232" customFormat="false" ht="15" hidden="false" customHeight="false" outlineLevel="0" collapsed="false">
      <c r="A232" s="6" t="n">
        <v>231</v>
      </c>
      <c r="B232" s="6" t="s">
        <v>709</v>
      </c>
      <c r="C232" s="7" t="s">
        <v>63</v>
      </c>
      <c r="D232" s="10" t="s">
        <v>710</v>
      </c>
      <c r="E232" s="7" t="s">
        <v>36</v>
      </c>
      <c r="F232" s="6" t="s">
        <v>65</v>
      </c>
      <c r="G232" s="9" t="n">
        <v>89.7</v>
      </c>
      <c r="H232" s="10" t="s">
        <v>711</v>
      </c>
      <c r="I232" s="11" t="n">
        <v>7.68</v>
      </c>
      <c r="J232" s="11" t="n">
        <v>12.9</v>
      </c>
      <c r="K232" s="11" t="n">
        <v>31</v>
      </c>
      <c r="L232" s="11" t="n">
        <v>58</v>
      </c>
      <c r="M232" s="11" t="n">
        <v>90</v>
      </c>
      <c r="N232" s="11" t="n">
        <v>158.2</v>
      </c>
      <c r="O232" s="11" t="n">
        <v>246.64</v>
      </c>
      <c r="P232" s="11" t="n">
        <v>68.07385</v>
      </c>
      <c r="Q232" s="6" t="n">
        <v>254</v>
      </c>
      <c r="R232" s="6" t="n">
        <v>132</v>
      </c>
      <c r="S232" s="12" t="n">
        <v>0.00339</v>
      </c>
      <c r="T232" s="13" t="n">
        <v>0.11047</v>
      </c>
      <c r="U232" s="6" t="n">
        <v>4</v>
      </c>
      <c r="V232" s="7" t="s">
        <v>39</v>
      </c>
    </row>
    <row r="233" customFormat="false" ht="15" hidden="false" customHeight="false" outlineLevel="0" collapsed="false">
      <c r="A233" s="14" t="n">
        <v>232</v>
      </c>
      <c r="B233" s="14" t="s">
        <v>712</v>
      </c>
      <c r="C233" s="15" t="s">
        <v>63</v>
      </c>
      <c r="D233" s="16" t="s">
        <v>713</v>
      </c>
      <c r="E233" s="15" t="s">
        <v>36</v>
      </c>
      <c r="F233" s="14" t="s">
        <v>65</v>
      </c>
      <c r="G233" s="17" t="n">
        <v>89.7</v>
      </c>
      <c r="H233" s="16" t="s">
        <v>714</v>
      </c>
      <c r="I233" s="19" t="n">
        <v>7</v>
      </c>
      <c r="J233" s="19" t="n">
        <v>11</v>
      </c>
      <c r="K233" s="19" t="n">
        <v>28</v>
      </c>
      <c r="L233" s="19" t="n">
        <v>55</v>
      </c>
      <c r="M233" s="19" t="n">
        <v>88</v>
      </c>
      <c r="N233" s="19" t="n">
        <v>155.2</v>
      </c>
      <c r="O233" s="19" t="n">
        <v>244.92</v>
      </c>
      <c r="P233" s="19" t="n">
        <v>65.6796</v>
      </c>
      <c r="Q233" s="14" t="n">
        <v>198</v>
      </c>
      <c r="R233" s="14" t="n">
        <v>152</v>
      </c>
      <c r="S233" s="20" t="n">
        <v>0.00182</v>
      </c>
      <c r="T233" s="21" t="n">
        <v>0.05945</v>
      </c>
      <c r="U233" s="14" t="n">
        <v>3</v>
      </c>
      <c r="V233" s="15" t="s">
        <v>39</v>
      </c>
    </row>
    <row r="234" customFormat="false" ht="15" hidden="false" customHeight="false" outlineLevel="0" collapsed="false">
      <c r="A234" s="6" t="n">
        <v>233</v>
      </c>
      <c r="B234" s="6" t="s">
        <v>715</v>
      </c>
      <c r="C234" s="7" t="s">
        <v>63</v>
      </c>
      <c r="D234" s="10" t="s">
        <v>716</v>
      </c>
      <c r="E234" s="7" t="s">
        <v>36</v>
      </c>
      <c r="F234" s="6" t="s">
        <v>65</v>
      </c>
      <c r="G234" s="9" t="n">
        <v>89.7</v>
      </c>
      <c r="H234" s="10" t="s">
        <v>717</v>
      </c>
      <c r="I234" s="11" t="n">
        <v>8</v>
      </c>
      <c r="J234" s="11" t="n">
        <v>13</v>
      </c>
      <c r="K234" s="11" t="n">
        <v>32</v>
      </c>
      <c r="L234" s="11" t="n">
        <v>60</v>
      </c>
      <c r="M234" s="11" t="n">
        <v>94</v>
      </c>
      <c r="N234" s="11" t="n">
        <v>167.6</v>
      </c>
      <c r="O234" s="11" t="n">
        <v>254.68</v>
      </c>
      <c r="P234" s="11" t="n">
        <v>70.55761</v>
      </c>
      <c r="Q234" s="6" t="n">
        <v>204</v>
      </c>
      <c r="R234" s="6" t="n">
        <v>167</v>
      </c>
      <c r="S234" s="12" t="n">
        <v>0.00074</v>
      </c>
      <c r="T234" s="13" t="n">
        <v>0.02408</v>
      </c>
      <c r="U234" s="6" t="n">
        <v>1</v>
      </c>
      <c r="V234" s="7" t="s">
        <v>39</v>
      </c>
    </row>
    <row r="235" customFormat="false" ht="15" hidden="false" customHeight="false" outlineLevel="0" collapsed="false">
      <c r="A235" s="14" t="n">
        <v>234</v>
      </c>
      <c r="B235" s="14" t="s">
        <v>718</v>
      </c>
      <c r="C235" s="15" t="s">
        <v>63</v>
      </c>
      <c r="D235" s="16" t="s">
        <v>719</v>
      </c>
      <c r="E235" s="15" t="s">
        <v>36</v>
      </c>
      <c r="F235" s="14" t="s">
        <v>65</v>
      </c>
      <c r="G235" s="17" t="n">
        <v>89.7</v>
      </c>
      <c r="H235" s="16" t="s">
        <v>720</v>
      </c>
      <c r="I235" s="19" t="n">
        <v>7.36</v>
      </c>
      <c r="J235" s="19" t="n">
        <v>12</v>
      </c>
      <c r="K235" s="19" t="n">
        <v>30</v>
      </c>
      <c r="L235" s="19" t="n">
        <v>58</v>
      </c>
      <c r="M235" s="19" t="n">
        <v>91</v>
      </c>
      <c r="N235" s="19" t="n">
        <v>162</v>
      </c>
      <c r="O235" s="19" t="n">
        <v>246.64</v>
      </c>
      <c r="P235" s="19" t="n">
        <v>68.20273</v>
      </c>
      <c r="Q235" s="14" t="n">
        <v>201</v>
      </c>
      <c r="R235" s="14" t="n">
        <v>162</v>
      </c>
      <c r="S235" s="20" t="n">
        <v>0.00103</v>
      </c>
      <c r="T235" s="21" t="n">
        <v>0.03354</v>
      </c>
      <c r="U235" s="14" t="n">
        <v>2</v>
      </c>
      <c r="V235" s="15" t="s">
        <v>39</v>
      </c>
    </row>
    <row r="236" customFormat="false" ht="15" hidden="false" customHeight="false" outlineLevel="0" collapsed="false">
      <c r="A236" s="6" t="n">
        <v>235</v>
      </c>
      <c r="B236" s="6" t="s">
        <v>721</v>
      </c>
      <c r="C236" s="7" t="s">
        <v>63</v>
      </c>
      <c r="D236" s="10" t="s">
        <v>722</v>
      </c>
      <c r="E236" s="7" t="s">
        <v>72</v>
      </c>
      <c r="F236" s="7" t="s">
        <v>486</v>
      </c>
      <c r="G236" s="9" t="n">
        <v>0</v>
      </c>
      <c r="H236" s="10" t="s">
        <v>692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1</v>
      </c>
      <c r="O236" s="11" t="n">
        <v>2</v>
      </c>
      <c r="P236" s="11" t="n">
        <v>0.12136</v>
      </c>
      <c r="Q236" s="6" t="n">
        <v>8</v>
      </c>
      <c r="R236" s="6" t="n">
        <v>276</v>
      </c>
      <c r="S236" s="12" t="n">
        <v>0</v>
      </c>
      <c r="T236" s="13" t="n">
        <v>0</v>
      </c>
      <c r="U236" s="6" t="n">
        <v>0</v>
      </c>
      <c r="V236" s="7" t="s">
        <v>50</v>
      </c>
    </row>
    <row r="237" customFormat="false" ht="15" hidden="false" customHeight="false" outlineLevel="0" collapsed="false">
      <c r="A237" s="14" t="n">
        <v>236</v>
      </c>
      <c r="B237" s="14" t="s">
        <v>723</v>
      </c>
      <c r="C237" s="15" t="s">
        <v>87</v>
      </c>
      <c r="D237" s="16" t="s">
        <v>724</v>
      </c>
      <c r="E237" s="15" t="s">
        <v>36</v>
      </c>
      <c r="F237" s="14" t="s">
        <v>93</v>
      </c>
      <c r="G237" s="17" t="n">
        <v>2</v>
      </c>
      <c r="H237" s="16" t="s">
        <v>725</v>
      </c>
      <c r="I237" s="19" t="n">
        <v>236.1</v>
      </c>
      <c r="J237" s="19" t="n">
        <v>1050</v>
      </c>
      <c r="K237" s="19" t="n">
        <v>2600</v>
      </c>
      <c r="L237" s="19" t="n">
        <v>3915</v>
      </c>
      <c r="M237" s="19" t="n">
        <v>5590</v>
      </c>
      <c r="N237" s="19" t="n">
        <v>8761.5</v>
      </c>
      <c r="O237" s="19" t="n">
        <v>11882.6</v>
      </c>
      <c r="P237" s="19" t="n">
        <v>4305.734</v>
      </c>
      <c r="Q237" s="14" t="n">
        <v>2862</v>
      </c>
      <c r="R237" s="14" t="n">
        <v>108</v>
      </c>
      <c r="S237" s="20" t="n">
        <v>0.00556</v>
      </c>
      <c r="T237" s="21" t="n">
        <v>0.18117</v>
      </c>
      <c r="U237" s="14" t="n">
        <v>17</v>
      </c>
      <c r="V237" s="15" t="s">
        <v>39</v>
      </c>
    </row>
    <row r="238" customFormat="false" ht="15" hidden="false" customHeight="false" outlineLevel="0" collapsed="false">
      <c r="A238" s="6" t="n">
        <v>237</v>
      </c>
      <c r="B238" s="6" t="s">
        <v>726</v>
      </c>
      <c r="C238" s="7" t="s">
        <v>87</v>
      </c>
      <c r="D238" s="10" t="s">
        <v>727</v>
      </c>
      <c r="E238" s="7" t="s">
        <v>72</v>
      </c>
      <c r="F238" s="7" t="s">
        <v>486</v>
      </c>
      <c r="G238" s="9" t="n">
        <v>0</v>
      </c>
      <c r="H238" s="10" t="s">
        <v>728</v>
      </c>
      <c r="I238" s="11" t="n">
        <v>0</v>
      </c>
      <c r="J238" s="11" t="n">
        <v>3</v>
      </c>
      <c r="K238" s="11" t="n">
        <v>10</v>
      </c>
      <c r="L238" s="11" t="n">
        <v>22</v>
      </c>
      <c r="M238" s="11" t="n">
        <v>35</v>
      </c>
      <c r="N238" s="11" t="n">
        <v>43</v>
      </c>
      <c r="O238" s="11" t="n">
        <v>46</v>
      </c>
      <c r="P238" s="11" t="n">
        <v>22.30709</v>
      </c>
      <c r="Q238" s="6" t="n">
        <v>49</v>
      </c>
      <c r="R238" s="6" t="n">
        <v>2</v>
      </c>
      <c r="S238" s="12" t="n">
        <v>0.14766</v>
      </c>
      <c r="T238" s="13" t="n">
        <v>4.8129</v>
      </c>
      <c r="U238" s="6" t="n">
        <v>68</v>
      </c>
      <c r="V238" s="7" t="s">
        <v>39</v>
      </c>
    </row>
    <row r="239" customFormat="false" ht="15" hidden="false" customHeight="false" outlineLevel="0" collapsed="false">
      <c r="A239" s="14" t="n">
        <v>238</v>
      </c>
      <c r="B239" s="14" t="s">
        <v>729</v>
      </c>
      <c r="C239" s="15" t="s">
        <v>87</v>
      </c>
      <c r="D239" s="16" t="s">
        <v>730</v>
      </c>
      <c r="E239" s="15" t="s">
        <v>36</v>
      </c>
      <c r="F239" s="14" t="s">
        <v>89</v>
      </c>
      <c r="G239" s="17" t="n">
        <v>5.7</v>
      </c>
      <c r="H239" s="16" t="s">
        <v>731</v>
      </c>
      <c r="I239" s="19" t="n">
        <v>0.2956</v>
      </c>
      <c r="J239" s="19" t="n">
        <v>0.56049</v>
      </c>
      <c r="K239" s="19" t="n">
        <v>0.9275</v>
      </c>
      <c r="L239" s="19" t="n">
        <v>1.27667</v>
      </c>
      <c r="M239" s="19" t="n">
        <v>1.74135</v>
      </c>
      <c r="N239" s="19" t="n">
        <v>2.74387</v>
      </c>
      <c r="O239" s="19" t="n">
        <v>3.87872</v>
      </c>
      <c r="P239" s="19" t="n">
        <v>1.416</v>
      </c>
      <c r="Q239" s="14" t="n">
        <v>10358</v>
      </c>
      <c r="R239" s="14" t="n">
        <v>13</v>
      </c>
      <c r="S239" s="20" t="n">
        <v>0.04796</v>
      </c>
      <c r="T239" s="21" t="n">
        <v>1.56312</v>
      </c>
      <c r="U239" s="14" t="n">
        <v>36</v>
      </c>
      <c r="V239" s="15" t="s">
        <v>39</v>
      </c>
    </row>
    <row r="240" customFormat="false" ht="15" hidden="false" customHeight="false" outlineLevel="0" collapsed="false">
      <c r="A240" s="6" t="n">
        <v>239</v>
      </c>
      <c r="B240" s="6" t="s">
        <v>732</v>
      </c>
      <c r="C240" s="7" t="s">
        <v>87</v>
      </c>
      <c r="D240" s="10" t="s">
        <v>733</v>
      </c>
      <c r="E240" s="7" t="s">
        <v>36</v>
      </c>
      <c r="F240" s="6" t="s">
        <v>89</v>
      </c>
      <c r="G240" s="9" t="n">
        <v>5.7</v>
      </c>
      <c r="H240" s="10" t="s">
        <v>734</v>
      </c>
      <c r="I240" s="11" t="n">
        <v>0.10962</v>
      </c>
      <c r="J240" s="11" t="n">
        <v>0.31759</v>
      </c>
      <c r="K240" s="11" t="n">
        <v>0.65934</v>
      </c>
      <c r="L240" s="11" t="n">
        <v>1.09339</v>
      </c>
      <c r="M240" s="11" t="n">
        <v>1.88553</v>
      </c>
      <c r="N240" s="11" t="n">
        <v>4.35037</v>
      </c>
      <c r="O240" s="11" t="n">
        <v>7.38519</v>
      </c>
      <c r="P240" s="11" t="n">
        <v>1.54669</v>
      </c>
      <c r="Q240" s="6" t="n">
        <v>8732</v>
      </c>
      <c r="R240" s="6" t="n">
        <v>4</v>
      </c>
      <c r="S240" s="12" t="n">
        <v>0.13177</v>
      </c>
      <c r="T240" s="13" t="n">
        <v>4.29502</v>
      </c>
      <c r="U240" s="6" t="n">
        <v>88</v>
      </c>
      <c r="V240" s="7" t="s">
        <v>39</v>
      </c>
    </row>
    <row r="241" customFormat="false" ht="15" hidden="false" customHeight="false" outlineLevel="0" collapsed="false">
      <c r="A241" s="14" t="n">
        <v>240</v>
      </c>
      <c r="B241" s="14" t="s">
        <v>735</v>
      </c>
      <c r="C241" s="15" t="s">
        <v>87</v>
      </c>
      <c r="D241" s="16" t="s">
        <v>736</v>
      </c>
      <c r="E241" s="15" t="s">
        <v>72</v>
      </c>
      <c r="F241" s="15" t="s">
        <v>486</v>
      </c>
      <c r="G241" s="17" t="n">
        <v>0</v>
      </c>
      <c r="H241" s="16" t="s">
        <v>737</v>
      </c>
      <c r="I241" s="19" t="n">
        <v>0</v>
      </c>
      <c r="J241" s="19" t="n">
        <v>0</v>
      </c>
      <c r="K241" s="19" t="n">
        <v>21</v>
      </c>
      <c r="L241" s="19" t="n">
        <v>40</v>
      </c>
      <c r="M241" s="19" t="n">
        <v>45</v>
      </c>
      <c r="N241" s="19" t="n">
        <v>47</v>
      </c>
      <c r="O241" s="19" t="n">
        <v>48</v>
      </c>
      <c r="P241" s="19" t="n">
        <v>32.35582</v>
      </c>
      <c r="Q241" s="14" t="n">
        <v>49</v>
      </c>
      <c r="R241" s="14" t="n">
        <v>58</v>
      </c>
      <c r="S241" s="20" t="n">
        <v>0.01517</v>
      </c>
      <c r="T241" s="21" t="n">
        <v>0.49451</v>
      </c>
      <c r="U241" s="14" t="n">
        <v>17</v>
      </c>
      <c r="V241" s="15" t="s">
        <v>39</v>
      </c>
    </row>
    <row r="242" customFormat="false" ht="15" hidden="false" customHeight="false" outlineLevel="0" collapsed="false">
      <c r="A242" s="6" t="n">
        <v>241</v>
      </c>
      <c r="B242" s="6" t="s">
        <v>738</v>
      </c>
      <c r="C242" s="7" t="s">
        <v>87</v>
      </c>
      <c r="D242" s="10" t="s">
        <v>739</v>
      </c>
      <c r="E242" s="7" t="s">
        <v>36</v>
      </c>
      <c r="F242" s="6" t="s">
        <v>53</v>
      </c>
      <c r="G242" s="9" t="n">
        <v>53.1</v>
      </c>
      <c r="H242" s="10" t="s">
        <v>740</v>
      </c>
      <c r="I242" s="11" t="n">
        <v>42.612</v>
      </c>
      <c r="J242" s="11" t="n">
        <v>50.1</v>
      </c>
      <c r="K242" s="11" t="n">
        <v>64.85</v>
      </c>
      <c r="L242" s="11" t="n">
        <v>76.85</v>
      </c>
      <c r="M242" s="11" t="n">
        <v>91.2</v>
      </c>
      <c r="N242" s="11" t="n">
        <v>118.02</v>
      </c>
      <c r="O242" s="11" t="n">
        <v>147.476</v>
      </c>
      <c r="P242" s="11" t="n">
        <v>79.75822</v>
      </c>
      <c r="Q242" s="6" t="n">
        <v>1682</v>
      </c>
      <c r="R242" s="6" t="n">
        <v>62</v>
      </c>
      <c r="S242" s="12" t="n">
        <v>0.01399</v>
      </c>
      <c r="T242" s="13" t="n">
        <v>0.45599</v>
      </c>
      <c r="U242" s="6" t="n">
        <v>30</v>
      </c>
      <c r="V242" s="7" t="s">
        <v>39</v>
      </c>
    </row>
    <row r="243" customFormat="false" ht="15" hidden="false" customHeight="false" outlineLevel="0" collapsed="false">
      <c r="A243" s="14" t="n">
        <v>242</v>
      </c>
      <c r="B243" s="14" t="s">
        <v>741</v>
      </c>
      <c r="C243" s="15" t="s">
        <v>87</v>
      </c>
      <c r="D243" s="16" t="s">
        <v>742</v>
      </c>
      <c r="E243" s="15" t="s">
        <v>36</v>
      </c>
      <c r="F243" s="14" t="s">
        <v>53</v>
      </c>
      <c r="G243" s="17" t="n">
        <v>53.1</v>
      </c>
      <c r="H243" s="16" t="s">
        <v>743</v>
      </c>
      <c r="I243" s="19" t="n">
        <v>42.256</v>
      </c>
      <c r="J243" s="19" t="n">
        <v>49.8</v>
      </c>
      <c r="K243" s="19" t="n">
        <v>64.3</v>
      </c>
      <c r="L243" s="19" t="n">
        <v>76.4</v>
      </c>
      <c r="M243" s="19" t="n">
        <v>90.8</v>
      </c>
      <c r="N243" s="19" t="n">
        <v>117.54</v>
      </c>
      <c r="O243" s="19" t="n">
        <v>147.3</v>
      </c>
      <c r="P243" s="19" t="n">
        <v>79.2959</v>
      </c>
      <c r="Q243" s="14" t="n">
        <v>952</v>
      </c>
      <c r="R243" s="14" t="n">
        <v>87</v>
      </c>
      <c r="S243" s="20" t="n">
        <v>0.00941</v>
      </c>
      <c r="T243" s="21" t="n">
        <v>0.3067</v>
      </c>
      <c r="U243" s="14" t="n">
        <v>16</v>
      </c>
      <c r="V243" s="15" t="s">
        <v>39</v>
      </c>
    </row>
    <row r="244" customFormat="false" ht="15" hidden="false" customHeight="false" outlineLevel="0" collapsed="false">
      <c r="A244" s="6" t="n">
        <v>243</v>
      </c>
      <c r="B244" s="6" t="s">
        <v>744</v>
      </c>
      <c r="C244" s="7" t="s">
        <v>87</v>
      </c>
      <c r="D244" s="10" t="s">
        <v>745</v>
      </c>
      <c r="E244" s="7" t="s">
        <v>36</v>
      </c>
      <c r="F244" s="6" t="s">
        <v>53</v>
      </c>
      <c r="G244" s="9" t="n">
        <v>53.1</v>
      </c>
      <c r="H244" s="10" t="s">
        <v>746</v>
      </c>
      <c r="I244" s="11" t="n">
        <v>42.856</v>
      </c>
      <c r="J244" s="11" t="n">
        <v>50.4</v>
      </c>
      <c r="K244" s="11" t="n">
        <v>65.1</v>
      </c>
      <c r="L244" s="11" t="n">
        <v>77.2</v>
      </c>
      <c r="M244" s="11" t="n">
        <v>91.9</v>
      </c>
      <c r="N244" s="11" t="n">
        <v>118.82</v>
      </c>
      <c r="O244" s="11" t="n">
        <v>148.688</v>
      </c>
      <c r="P244" s="11" t="n">
        <v>80.22578</v>
      </c>
      <c r="Q244" s="6" t="n">
        <v>958</v>
      </c>
      <c r="R244" s="6" t="n">
        <v>68</v>
      </c>
      <c r="S244" s="12" t="n">
        <v>0.01218</v>
      </c>
      <c r="T244" s="13" t="n">
        <v>0.39706</v>
      </c>
      <c r="U244" s="6" t="n">
        <v>20</v>
      </c>
      <c r="V244" s="7" t="s">
        <v>39</v>
      </c>
    </row>
    <row r="245" customFormat="false" ht="15" hidden="false" customHeight="false" outlineLevel="0" collapsed="false">
      <c r="A245" s="14" t="n">
        <v>244</v>
      </c>
      <c r="B245" s="14" t="s">
        <v>747</v>
      </c>
      <c r="C245" s="15" t="s">
        <v>87</v>
      </c>
      <c r="D245" s="16" t="s">
        <v>748</v>
      </c>
      <c r="E245" s="15" t="s">
        <v>36</v>
      </c>
      <c r="F245" s="14" t="s">
        <v>53</v>
      </c>
      <c r="G245" s="17" t="n">
        <v>53.1</v>
      </c>
      <c r="H245" s="16" t="s">
        <v>749</v>
      </c>
      <c r="I245" s="19" t="n">
        <v>42.8</v>
      </c>
      <c r="J245" s="19" t="n">
        <v>50.2</v>
      </c>
      <c r="K245" s="19" t="n">
        <v>65</v>
      </c>
      <c r="L245" s="19" t="n">
        <v>76.9</v>
      </c>
      <c r="M245" s="19" t="n">
        <v>91.2</v>
      </c>
      <c r="N245" s="19" t="n">
        <v>118.2</v>
      </c>
      <c r="O245" s="19" t="n">
        <v>148.096</v>
      </c>
      <c r="P245" s="19" t="n">
        <v>79.83615</v>
      </c>
      <c r="Q245" s="14" t="n">
        <v>955</v>
      </c>
      <c r="R245" s="14" t="n">
        <v>34</v>
      </c>
      <c r="S245" s="20" t="n">
        <v>0.02498</v>
      </c>
      <c r="T245" s="21" t="n">
        <v>0.81411</v>
      </c>
      <c r="U245" s="14" t="n">
        <v>32</v>
      </c>
      <c r="V245" s="15" t="s">
        <v>39</v>
      </c>
    </row>
    <row r="246" customFormat="false" ht="15" hidden="false" customHeight="false" outlineLevel="0" collapsed="false">
      <c r="A246" s="6" t="n">
        <v>245</v>
      </c>
      <c r="B246" s="6" t="s">
        <v>750</v>
      </c>
      <c r="C246" s="7" t="s">
        <v>87</v>
      </c>
      <c r="D246" s="10" t="s">
        <v>751</v>
      </c>
      <c r="E246" s="7" t="s">
        <v>72</v>
      </c>
      <c r="F246" s="7" t="s">
        <v>486</v>
      </c>
      <c r="G246" s="9" t="n">
        <v>0</v>
      </c>
      <c r="H246" s="10" t="s">
        <v>752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1</v>
      </c>
      <c r="N246" s="11" t="n">
        <v>2</v>
      </c>
      <c r="O246" s="11" t="n">
        <v>3</v>
      </c>
      <c r="P246" s="11" t="n">
        <v>0.74018</v>
      </c>
      <c r="Q246" s="6" t="n">
        <v>32</v>
      </c>
      <c r="R246" s="6" t="n">
        <v>172</v>
      </c>
      <c r="S246" s="12" t="n">
        <v>0.00065</v>
      </c>
      <c r="T246" s="13" t="n">
        <v>0.02106</v>
      </c>
      <c r="U246" s="6" t="n">
        <v>1</v>
      </c>
      <c r="V246" s="7" t="s">
        <v>39</v>
      </c>
    </row>
    <row r="247" customFormat="false" ht="29.85" hidden="false" customHeight="false" outlineLevel="0" collapsed="false">
      <c r="A247" s="14" t="n">
        <v>246</v>
      </c>
      <c r="B247" s="14" t="s">
        <v>753</v>
      </c>
      <c r="C247" s="15" t="s">
        <v>63</v>
      </c>
      <c r="D247" s="18" t="s">
        <v>754</v>
      </c>
      <c r="E247" s="15" t="s">
        <v>36</v>
      </c>
      <c r="F247" s="14" t="s">
        <v>755</v>
      </c>
      <c r="G247" s="17" t="n">
        <v>0</v>
      </c>
      <c r="H247" s="16" t="s">
        <v>756</v>
      </c>
      <c r="I247" s="19" t="n">
        <v>9.23225</v>
      </c>
      <c r="J247" s="19" t="n">
        <v>20.63835</v>
      </c>
      <c r="K247" s="19" t="n">
        <v>52.32533</v>
      </c>
      <c r="L247" s="19" t="n">
        <v>75.03227</v>
      </c>
      <c r="M247" s="19" t="n">
        <v>99.2879</v>
      </c>
      <c r="N247" s="19" t="n">
        <v>143.77703</v>
      </c>
      <c r="O247" s="19" t="n">
        <v>217.4704</v>
      </c>
      <c r="P247" s="19" t="n">
        <v>79.0129</v>
      </c>
      <c r="Q247" s="14" t="n">
        <v>2729</v>
      </c>
      <c r="R247" s="14" t="n">
        <v>102</v>
      </c>
      <c r="S247" s="20" t="n">
        <v>0.00638</v>
      </c>
      <c r="T247" s="21" t="n">
        <v>0.208</v>
      </c>
      <c r="U247" s="14" t="n">
        <v>14</v>
      </c>
      <c r="V247" s="15" t="s">
        <v>39</v>
      </c>
    </row>
    <row r="248" customFormat="false" ht="29.85" hidden="false" customHeight="false" outlineLevel="0" collapsed="false">
      <c r="A248" s="6" t="n">
        <v>247</v>
      </c>
      <c r="B248" s="6" t="s">
        <v>757</v>
      </c>
      <c r="C248" s="7" t="s">
        <v>63</v>
      </c>
      <c r="D248" s="8" t="s">
        <v>758</v>
      </c>
      <c r="E248" s="7" t="s">
        <v>36</v>
      </c>
      <c r="F248" s="6" t="s">
        <v>755</v>
      </c>
      <c r="G248" s="9" t="n">
        <v>0</v>
      </c>
      <c r="H248" s="10" t="s">
        <v>759</v>
      </c>
      <c r="I248" s="11" t="n">
        <v>13.34352</v>
      </c>
      <c r="J248" s="11" t="n">
        <v>27.81614</v>
      </c>
      <c r="K248" s="11" t="n">
        <v>60.39873</v>
      </c>
      <c r="L248" s="11" t="n">
        <v>85.50405</v>
      </c>
      <c r="M248" s="11" t="n">
        <v>116.23912</v>
      </c>
      <c r="N248" s="11" t="n">
        <v>171.38944</v>
      </c>
      <c r="O248" s="11" t="n">
        <v>247.75915</v>
      </c>
      <c r="P248" s="11" t="n">
        <v>93.06775</v>
      </c>
      <c r="Q248" s="6" t="n">
        <v>2434</v>
      </c>
      <c r="R248" s="6" t="n">
        <v>18</v>
      </c>
      <c r="S248" s="12" t="n">
        <v>0.04208</v>
      </c>
      <c r="T248" s="13" t="n">
        <v>1.37161</v>
      </c>
      <c r="U248" s="6" t="n">
        <v>40</v>
      </c>
      <c r="V248" s="7" t="s">
        <v>39</v>
      </c>
    </row>
    <row r="249" customFormat="false" ht="29.85" hidden="false" customHeight="false" outlineLevel="0" collapsed="false">
      <c r="A249" s="14" t="n">
        <v>248</v>
      </c>
      <c r="B249" s="14" t="s">
        <v>760</v>
      </c>
      <c r="C249" s="15" t="s">
        <v>63</v>
      </c>
      <c r="D249" s="18" t="s">
        <v>761</v>
      </c>
      <c r="E249" s="15" t="s">
        <v>36</v>
      </c>
      <c r="F249" s="14" t="s">
        <v>755</v>
      </c>
      <c r="G249" s="17" t="n">
        <v>0</v>
      </c>
      <c r="H249" s="16" t="s">
        <v>762</v>
      </c>
      <c r="I249" s="19" t="n">
        <v>11.81399</v>
      </c>
      <c r="J249" s="19" t="n">
        <v>24.89906</v>
      </c>
      <c r="K249" s="19" t="n">
        <v>58.23761</v>
      </c>
      <c r="L249" s="19" t="n">
        <v>84.16839</v>
      </c>
      <c r="M249" s="19" t="n">
        <v>111.3906</v>
      </c>
      <c r="N249" s="19" t="n">
        <v>162.75858</v>
      </c>
      <c r="O249" s="19" t="n">
        <v>234.29083</v>
      </c>
      <c r="P249" s="19" t="n">
        <v>88.5463</v>
      </c>
      <c r="Q249" s="14" t="n">
        <v>8380</v>
      </c>
      <c r="R249" s="14" t="n">
        <v>124</v>
      </c>
      <c r="S249" s="20" t="n">
        <v>0.00387</v>
      </c>
      <c r="T249" s="21" t="n">
        <v>0.12605</v>
      </c>
      <c r="U249" s="14" t="n">
        <v>10</v>
      </c>
      <c r="V249" s="15" t="s">
        <v>39</v>
      </c>
    </row>
    <row r="250" customFormat="false" ht="29.85" hidden="false" customHeight="false" outlineLevel="0" collapsed="false">
      <c r="A250" s="6" t="n">
        <v>249</v>
      </c>
      <c r="B250" s="6" t="s">
        <v>763</v>
      </c>
      <c r="C250" s="7" t="s">
        <v>63</v>
      </c>
      <c r="D250" s="8" t="s">
        <v>764</v>
      </c>
      <c r="E250" s="7" t="s">
        <v>36</v>
      </c>
      <c r="F250" s="6" t="s">
        <v>755</v>
      </c>
      <c r="G250" s="9" t="n">
        <v>0</v>
      </c>
      <c r="H250" s="10" t="s">
        <v>765</v>
      </c>
      <c r="I250" s="11" t="n">
        <v>11.6352</v>
      </c>
      <c r="J250" s="11" t="n">
        <v>22.59491</v>
      </c>
      <c r="K250" s="11" t="n">
        <v>51.33116</v>
      </c>
      <c r="L250" s="11" t="n">
        <v>79.53881</v>
      </c>
      <c r="M250" s="11" t="n">
        <v>113.59122</v>
      </c>
      <c r="N250" s="11" t="n">
        <v>177.55266</v>
      </c>
      <c r="O250" s="11" t="n">
        <v>247.26324</v>
      </c>
      <c r="P250" s="11" t="n">
        <v>87.58878</v>
      </c>
      <c r="Q250" s="6" t="n">
        <v>10128</v>
      </c>
      <c r="R250" s="6" t="n">
        <v>71</v>
      </c>
      <c r="S250" s="12" t="n">
        <v>0.01187</v>
      </c>
      <c r="T250" s="13" t="n">
        <v>0.38706</v>
      </c>
      <c r="U250" s="6" t="n">
        <v>15</v>
      </c>
      <c r="V250" s="7" t="s">
        <v>39</v>
      </c>
    </row>
    <row r="251" customFormat="false" ht="29.85" hidden="false" customHeight="false" outlineLevel="0" collapsed="false">
      <c r="A251" s="14" t="n">
        <v>250</v>
      </c>
      <c r="B251" s="14" t="s">
        <v>766</v>
      </c>
      <c r="C251" s="15" t="s">
        <v>63</v>
      </c>
      <c r="D251" s="18" t="s">
        <v>767</v>
      </c>
      <c r="E251" s="15" t="s">
        <v>36</v>
      </c>
      <c r="F251" s="14" t="s">
        <v>755</v>
      </c>
      <c r="G251" s="17" t="n">
        <v>0</v>
      </c>
      <c r="H251" s="16" t="s">
        <v>768</v>
      </c>
      <c r="I251" s="19" t="n">
        <v>15.24511</v>
      </c>
      <c r="J251" s="19" t="n">
        <v>28.00493</v>
      </c>
      <c r="K251" s="19" t="n">
        <v>58.83275</v>
      </c>
      <c r="L251" s="19" t="n">
        <v>90.91089</v>
      </c>
      <c r="M251" s="19" t="n">
        <v>130.562</v>
      </c>
      <c r="N251" s="19" t="n">
        <v>207.11139</v>
      </c>
      <c r="O251" s="19" t="n">
        <v>292.87302</v>
      </c>
      <c r="P251" s="19" t="n">
        <v>100.94455</v>
      </c>
      <c r="Q251" s="14" t="n">
        <v>10069</v>
      </c>
      <c r="R251" s="14" t="n">
        <v>66</v>
      </c>
      <c r="S251" s="20" t="n">
        <v>0.01253</v>
      </c>
      <c r="T251" s="21" t="n">
        <v>0.40832</v>
      </c>
      <c r="U251" s="14" t="n">
        <v>29</v>
      </c>
      <c r="V251" s="15" t="s">
        <v>39</v>
      </c>
    </row>
    <row r="252" customFormat="false" ht="29.85" hidden="false" customHeight="false" outlineLevel="0" collapsed="false">
      <c r="A252" s="6" t="n">
        <v>251</v>
      </c>
      <c r="B252" s="6" t="s">
        <v>769</v>
      </c>
      <c r="C252" s="7" t="s">
        <v>63</v>
      </c>
      <c r="D252" s="8" t="s">
        <v>770</v>
      </c>
      <c r="E252" s="7" t="s">
        <v>36</v>
      </c>
      <c r="F252" s="6" t="s">
        <v>755</v>
      </c>
      <c r="G252" s="9" t="n">
        <v>0</v>
      </c>
      <c r="H252" s="10" t="s">
        <v>771</v>
      </c>
      <c r="I252" s="11" t="n">
        <v>13.91049</v>
      </c>
      <c r="J252" s="11" t="n">
        <v>25.97387</v>
      </c>
      <c r="K252" s="11" t="n">
        <v>56.72188</v>
      </c>
      <c r="L252" s="11" t="n">
        <v>87.70076</v>
      </c>
      <c r="M252" s="11" t="n">
        <v>124.94999</v>
      </c>
      <c r="N252" s="11" t="n">
        <v>194.44841</v>
      </c>
      <c r="O252" s="11" t="n">
        <v>276.40365</v>
      </c>
      <c r="P252" s="11" t="n">
        <v>96.63405</v>
      </c>
      <c r="Q252" s="6" t="n">
        <v>10803</v>
      </c>
      <c r="R252" s="6" t="n">
        <v>75</v>
      </c>
      <c r="S252" s="12" t="n">
        <v>0.01098</v>
      </c>
      <c r="T252" s="13" t="n">
        <v>0.35801</v>
      </c>
      <c r="U252" s="6" t="n">
        <v>22</v>
      </c>
      <c r="V252" s="7" t="s">
        <v>39</v>
      </c>
    </row>
    <row r="253" customFormat="false" ht="29.85" hidden="false" customHeight="false" outlineLevel="0" collapsed="false">
      <c r="A253" s="14" t="n">
        <v>252</v>
      </c>
      <c r="B253" s="14" t="s">
        <v>772</v>
      </c>
      <c r="C253" s="15" t="s">
        <v>63</v>
      </c>
      <c r="D253" s="18" t="s">
        <v>773</v>
      </c>
      <c r="E253" s="15" t="s">
        <v>36</v>
      </c>
      <c r="F253" s="14" t="s">
        <v>755</v>
      </c>
      <c r="G253" s="17" t="n">
        <v>0</v>
      </c>
      <c r="H253" s="16" t="s">
        <v>774</v>
      </c>
      <c r="I253" s="19" t="n">
        <v>9.58113</v>
      </c>
      <c r="J253" s="19" t="n">
        <v>21.6122</v>
      </c>
      <c r="K253" s="19" t="n">
        <v>56.23009</v>
      </c>
      <c r="L253" s="19" t="n">
        <v>83.84203</v>
      </c>
      <c r="M253" s="19" t="n">
        <v>101.44075</v>
      </c>
      <c r="N253" s="19" t="n">
        <v>121.96276</v>
      </c>
      <c r="O253" s="19" t="n">
        <v>133.60938</v>
      </c>
      <c r="P253" s="19" t="n">
        <v>78.36485</v>
      </c>
      <c r="Q253" s="14" t="n">
        <v>2729</v>
      </c>
      <c r="R253" s="14" t="n">
        <v>14</v>
      </c>
      <c r="S253" s="20" t="n">
        <v>0.04618</v>
      </c>
      <c r="T253" s="21" t="n">
        <v>1.50535</v>
      </c>
      <c r="U253" s="14" t="n">
        <v>26</v>
      </c>
      <c r="V253" s="15" t="s">
        <v>39</v>
      </c>
    </row>
    <row r="254" customFormat="false" ht="29.85" hidden="false" customHeight="false" outlineLevel="0" collapsed="false">
      <c r="A254" s="6" t="n">
        <v>253</v>
      </c>
      <c r="B254" s="6" t="s">
        <v>775</v>
      </c>
      <c r="C254" s="7" t="s">
        <v>63</v>
      </c>
      <c r="D254" s="8" t="s">
        <v>776</v>
      </c>
      <c r="E254" s="7" t="s">
        <v>36</v>
      </c>
      <c r="F254" s="6" t="s">
        <v>755</v>
      </c>
      <c r="G254" s="9" t="n">
        <v>0</v>
      </c>
      <c r="H254" s="10" t="s">
        <v>777</v>
      </c>
      <c r="I254" s="11" t="n">
        <v>13.65387</v>
      </c>
      <c r="J254" s="11" t="n">
        <v>29.13089</v>
      </c>
      <c r="K254" s="11" t="n">
        <v>66.09901</v>
      </c>
      <c r="L254" s="11" t="n">
        <v>92.3901</v>
      </c>
      <c r="M254" s="11" t="n">
        <v>106.48917</v>
      </c>
      <c r="N254" s="11" t="n">
        <v>127.53151</v>
      </c>
      <c r="O254" s="11" t="n">
        <v>141.52723</v>
      </c>
      <c r="P254" s="11" t="n">
        <v>85.86929</v>
      </c>
      <c r="Q254" s="6" t="n">
        <v>2434</v>
      </c>
      <c r="R254" s="6" t="n">
        <v>19</v>
      </c>
      <c r="S254" s="12" t="n">
        <v>0.04009</v>
      </c>
      <c r="T254" s="13" t="n">
        <v>1.30683</v>
      </c>
      <c r="U254" s="6" t="n">
        <v>22</v>
      </c>
      <c r="V254" s="7" t="s">
        <v>39</v>
      </c>
    </row>
    <row r="255" customFormat="false" ht="29.85" hidden="false" customHeight="false" outlineLevel="0" collapsed="false">
      <c r="A255" s="14" t="n">
        <v>254</v>
      </c>
      <c r="B255" s="14" t="s">
        <v>778</v>
      </c>
      <c r="C255" s="15" t="s">
        <v>63</v>
      </c>
      <c r="D255" s="18" t="s">
        <v>779</v>
      </c>
      <c r="E255" s="15" t="s">
        <v>36</v>
      </c>
      <c r="F255" s="14" t="s">
        <v>755</v>
      </c>
      <c r="G255" s="17" t="n">
        <v>0</v>
      </c>
      <c r="H255" s="16" t="s">
        <v>780</v>
      </c>
      <c r="I255" s="19" t="n">
        <v>12.31423</v>
      </c>
      <c r="J255" s="19" t="n">
        <v>26.1952</v>
      </c>
      <c r="K255" s="19" t="n">
        <v>63.40224</v>
      </c>
      <c r="L255" s="19" t="n">
        <v>89.70912</v>
      </c>
      <c r="M255" s="19" t="n">
        <v>104.64535</v>
      </c>
      <c r="N255" s="19" t="n">
        <v>125.21117</v>
      </c>
      <c r="O255" s="19" t="n">
        <v>137.61522</v>
      </c>
      <c r="P255" s="19" t="n">
        <v>83.43737</v>
      </c>
      <c r="Q255" s="14" t="n">
        <v>8426</v>
      </c>
      <c r="R255" s="14" t="n">
        <v>47</v>
      </c>
      <c r="S255" s="20" t="n">
        <v>0.01771</v>
      </c>
      <c r="T255" s="21" t="n">
        <v>0.57736</v>
      </c>
      <c r="U255" s="14" t="n">
        <v>18</v>
      </c>
      <c r="V255" s="15" t="s">
        <v>39</v>
      </c>
    </row>
    <row r="256" customFormat="false" ht="15" hidden="false" customHeight="false" outlineLevel="0" collapsed="false">
      <c r="A256" s="6" t="n">
        <v>255</v>
      </c>
      <c r="B256" s="6" t="s">
        <v>781</v>
      </c>
      <c r="C256" s="7" t="s">
        <v>782</v>
      </c>
      <c r="D256" s="8" t="s">
        <v>783</v>
      </c>
      <c r="E256" s="7" t="s">
        <v>72</v>
      </c>
      <c r="F256" s="7" t="s">
        <v>73</v>
      </c>
      <c r="G256" s="9" t="n">
        <v>0</v>
      </c>
      <c r="H256" s="10" t="s">
        <v>487</v>
      </c>
      <c r="I256" s="11" t="n">
        <v>2</v>
      </c>
      <c r="J256" s="11" t="n">
        <v>2</v>
      </c>
      <c r="K256" s="11" t="n">
        <v>2</v>
      </c>
      <c r="L256" s="11" t="n">
        <v>3</v>
      </c>
      <c r="M256" s="11" t="n">
        <v>4</v>
      </c>
      <c r="N256" s="11" t="n">
        <v>6</v>
      </c>
      <c r="O256" s="11" t="n">
        <v>9</v>
      </c>
      <c r="P256" s="11" t="n">
        <v>3.46527</v>
      </c>
      <c r="Q256" s="6" t="n">
        <v>17</v>
      </c>
      <c r="R256" s="6" t="n">
        <v>121</v>
      </c>
      <c r="S256" s="12" t="n">
        <v>0.00422</v>
      </c>
      <c r="T256" s="13" t="n">
        <v>0.1375</v>
      </c>
      <c r="U256" s="6" t="n">
        <v>4</v>
      </c>
      <c r="V256" s="7" t="s">
        <v>39</v>
      </c>
    </row>
    <row r="257" customFormat="false" ht="15" hidden="false" customHeight="false" outlineLevel="0" collapsed="false">
      <c r="A257" s="14" t="n">
        <v>256</v>
      </c>
      <c r="B257" s="14" t="s">
        <v>784</v>
      </c>
      <c r="C257" s="15" t="s">
        <v>782</v>
      </c>
      <c r="D257" s="16" t="s">
        <v>785</v>
      </c>
      <c r="E257" s="15" t="s">
        <v>72</v>
      </c>
      <c r="F257" s="15" t="s">
        <v>77</v>
      </c>
      <c r="G257" s="17" t="n">
        <v>0</v>
      </c>
      <c r="H257" s="16" t="s">
        <v>786</v>
      </c>
      <c r="I257" s="19" t="n">
        <v>1</v>
      </c>
      <c r="J257" s="19" t="n">
        <v>2</v>
      </c>
      <c r="K257" s="19" t="n">
        <v>6</v>
      </c>
      <c r="L257" s="19" t="n">
        <v>11</v>
      </c>
      <c r="M257" s="19" t="n">
        <v>16</v>
      </c>
      <c r="N257" s="19" t="n">
        <v>23</v>
      </c>
      <c r="O257" s="19" t="n">
        <v>26</v>
      </c>
      <c r="P257" s="19" t="n">
        <v>11.32573</v>
      </c>
      <c r="Q257" s="14" t="n">
        <v>43</v>
      </c>
      <c r="R257" s="14" t="n">
        <v>82</v>
      </c>
      <c r="S257" s="20" t="n">
        <v>0.01046</v>
      </c>
      <c r="T257" s="21" t="n">
        <v>0.34094</v>
      </c>
      <c r="U257" s="14" t="n">
        <v>14</v>
      </c>
      <c r="V257" s="15" t="s">
        <v>39</v>
      </c>
    </row>
    <row r="258" customFormat="false" ht="15" hidden="false" customHeight="false" outlineLevel="0" collapsed="false">
      <c r="A258" s="6" t="n">
        <v>257</v>
      </c>
      <c r="B258" s="6" t="s">
        <v>787</v>
      </c>
      <c r="C258" s="7" t="s">
        <v>782</v>
      </c>
      <c r="D258" s="10" t="s">
        <v>788</v>
      </c>
      <c r="E258" s="7" t="s">
        <v>36</v>
      </c>
      <c r="F258" s="6" t="s">
        <v>65</v>
      </c>
      <c r="G258" s="9" t="n">
        <v>0.3</v>
      </c>
      <c r="H258" s="10" t="s">
        <v>789</v>
      </c>
      <c r="I258" s="11" t="n">
        <v>-1.2</v>
      </c>
      <c r="J258" s="11" t="n">
        <v>-0.4</v>
      </c>
      <c r="K258" s="11" t="n">
        <v>-0.1</v>
      </c>
      <c r="L258" s="11" t="n">
        <v>0</v>
      </c>
      <c r="M258" s="11" t="n">
        <v>0</v>
      </c>
      <c r="N258" s="11" t="n">
        <v>0.1</v>
      </c>
      <c r="O258" s="11" t="n">
        <v>0.2</v>
      </c>
      <c r="P258" s="11" t="n">
        <v>-0.07885</v>
      </c>
      <c r="Q258" s="6" t="n">
        <v>55</v>
      </c>
      <c r="R258" s="6" t="n">
        <v>84</v>
      </c>
      <c r="S258" s="12" t="n">
        <v>0.00969</v>
      </c>
      <c r="T258" s="13" t="n">
        <v>0.31582</v>
      </c>
      <c r="U258" s="6" t="n">
        <v>16</v>
      </c>
      <c r="V258" s="7" t="s">
        <v>39</v>
      </c>
    </row>
    <row r="259" customFormat="false" ht="15" hidden="false" customHeight="false" outlineLevel="0" collapsed="false">
      <c r="A259" s="14" t="n">
        <v>258</v>
      </c>
      <c r="B259" s="14" t="s">
        <v>790</v>
      </c>
      <c r="C259" s="15" t="s">
        <v>782</v>
      </c>
      <c r="D259" s="16" t="s">
        <v>791</v>
      </c>
      <c r="E259" s="15" t="s">
        <v>36</v>
      </c>
      <c r="F259" s="14" t="s">
        <v>65</v>
      </c>
      <c r="G259" s="17" t="n">
        <v>0</v>
      </c>
      <c r="H259" s="16" t="s">
        <v>792</v>
      </c>
      <c r="I259" s="19" t="n">
        <v>0</v>
      </c>
      <c r="J259" s="19" t="n">
        <v>0</v>
      </c>
      <c r="K259" s="19" t="n">
        <v>0</v>
      </c>
      <c r="L259" s="19" t="n">
        <v>0</v>
      </c>
      <c r="M259" s="19" t="n">
        <v>0.1</v>
      </c>
      <c r="N259" s="19" t="n">
        <v>0.2</v>
      </c>
      <c r="O259" s="19" t="n">
        <v>0.2</v>
      </c>
      <c r="P259" s="19" t="n">
        <v>0.04125</v>
      </c>
      <c r="Q259" s="14" t="n">
        <v>6</v>
      </c>
      <c r="R259" s="14" t="n">
        <v>12</v>
      </c>
      <c r="S259" s="20" t="n">
        <v>0.04981</v>
      </c>
      <c r="T259" s="21" t="n">
        <v>1.62369</v>
      </c>
      <c r="U259" s="14" t="n">
        <v>26</v>
      </c>
      <c r="V259" s="15" t="s">
        <v>39</v>
      </c>
    </row>
    <row r="260" customFormat="false" ht="15" hidden="false" customHeight="false" outlineLevel="0" collapsed="false">
      <c r="A260" s="6" t="n">
        <v>259</v>
      </c>
      <c r="B260" s="6" t="s">
        <v>793</v>
      </c>
      <c r="C260" s="7" t="s">
        <v>782</v>
      </c>
      <c r="D260" s="10" t="s">
        <v>794</v>
      </c>
      <c r="E260" s="7" t="s">
        <v>36</v>
      </c>
      <c r="F260" s="7" t="s">
        <v>795</v>
      </c>
      <c r="G260" s="9" t="n">
        <v>0</v>
      </c>
      <c r="H260" s="10" t="s">
        <v>796</v>
      </c>
      <c r="I260" s="11" t="n">
        <v>1</v>
      </c>
      <c r="J260" s="11" t="n">
        <v>1</v>
      </c>
      <c r="K260" s="11" t="n">
        <v>1</v>
      </c>
      <c r="L260" s="11" t="n">
        <v>1</v>
      </c>
      <c r="M260" s="11" t="n">
        <v>1.1</v>
      </c>
      <c r="N260" s="11" t="n">
        <v>1.25</v>
      </c>
      <c r="O260" s="11" t="n">
        <v>1.4</v>
      </c>
      <c r="P260" s="11" t="n">
        <v>1.05417</v>
      </c>
      <c r="Q260" s="6" t="n">
        <v>78</v>
      </c>
      <c r="R260" s="6" t="n">
        <v>52</v>
      </c>
      <c r="S260" s="12" t="n">
        <v>0.01666</v>
      </c>
      <c r="T260" s="13" t="n">
        <v>0.54294</v>
      </c>
      <c r="U260" s="6" t="n">
        <v>12</v>
      </c>
      <c r="V260" s="7" t="s">
        <v>39</v>
      </c>
    </row>
    <row r="261" customFormat="false" ht="15" hidden="false" customHeight="false" outlineLevel="0" collapsed="false">
      <c r="A261" s="14" t="n">
        <v>260</v>
      </c>
      <c r="B261" s="14" t="s">
        <v>797</v>
      </c>
      <c r="C261" s="15" t="s">
        <v>782</v>
      </c>
      <c r="D261" s="16" t="s">
        <v>798</v>
      </c>
      <c r="E261" s="15" t="s">
        <v>36</v>
      </c>
      <c r="F261" s="14" t="s">
        <v>65</v>
      </c>
      <c r="G261" s="17" t="n">
        <v>0</v>
      </c>
      <c r="H261" s="16" t="s">
        <v>792</v>
      </c>
      <c r="I261" s="19" t="n">
        <v>0</v>
      </c>
      <c r="J261" s="19" t="n">
        <v>0</v>
      </c>
      <c r="K261" s="19" t="n">
        <v>0</v>
      </c>
      <c r="L261" s="19" t="n">
        <v>0</v>
      </c>
      <c r="M261" s="19" t="n">
        <v>0.1</v>
      </c>
      <c r="N261" s="19" t="n">
        <v>0.2</v>
      </c>
      <c r="O261" s="19" t="n">
        <v>0.3</v>
      </c>
      <c r="P261" s="19" t="n">
        <v>0.04579</v>
      </c>
      <c r="Q261" s="14" t="n">
        <v>7</v>
      </c>
      <c r="R261" s="14" t="n">
        <v>16</v>
      </c>
      <c r="S261" s="20" t="n">
        <v>0.04288</v>
      </c>
      <c r="T261" s="21" t="n">
        <v>1.3976</v>
      </c>
      <c r="U261" s="14" t="n">
        <v>22</v>
      </c>
      <c r="V261" s="15" t="s">
        <v>39</v>
      </c>
    </row>
    <row r="262" customFormat="false" ht="15" hidden="false" customHeight="false" outlineLevel="0" collapsed="false">
      <c r="A262" s="6" t="n">
        <v>261</v>
      </c>
      <c r="B262" s="6" t="s">
        <v>799</v>
      </c>
      <c r="C262" s="7" t="s">
        <v>782</v>
      </c>
      <c r="D262" s="10" t="s">
        <v>800</v>
      </c>
      <c r="E262" s="7" t="s">
        <v>36</v>
      </c>
      <c r="F262" s="7" t="s">
        <v>795</v>
      </c>
      <c r="G262" s="9" t="n">
        <v>0</v>
      </c>
      <c r="H262" s="10" t="s">
        <v>801</v>
      </c>
      <c r="I262" s="11" t="n">
        <v>1</v>
      </c>
      <c r="J262" s="11" t="n">
        <v>1</v>
      </c>
      <c r="K262" s="11" t="n">
        <v>1</v>
      </c>
      <c r="L262" s="11" t="n">
        <v>1</v>
      </c>
      <c r="M262" s="11" t="n">
        <v>1.125</v>
      </c>
      <c r="N262" s="11" t="n">
        <v>1.28571</v>
      </c>
      <c r="O262" s="11" t="n">
        <v>1.4</v>
      </c>
      <c r="P262" s="11" t="n">
        <v>1.06638</v>
      </c>
      <c r="Q262" s="6" t="n">
        <v>108</v>
      </c>
      <c r="R262" s="6" t="n">
        <v>36</v>
      </c>
      <c r="S262" s="12" t="n">
        <v>0.02428</v>
      </c>
      <c r="T262" s="13" t="n">
        <v>0.79126</v>
      </c>
      <c r="U262" s="6" t="n">
        <v>25</v>
      </c>
      <c r="V262" s="7" t="s">
        <v>39</v>
      </c>
    </row>
    <row r="263" customFormat="false" ht="15" hidden="false" customHeight="false" outlineLevel="0" collapsed="false">
      <c r="A263" s="14" t="n">
        <v>262</v>
      </c>
      <c r="B263" s="14" t="s">
        <v>802</v>
      </c>
      <c r="C263" s="15" t="s">
        <v>782</v>
      </c>
      <c r="D263" s="16" t="s">
        <v>803</v>
      </c>
      <c r="E263" s="15" t="s">
        <v>36</v>
      </c>
      <c r="F263" s="14" t="s">
        <v>804</v>
      </c>
      <c r="G263" s="17" t="n">
        <v>0.4</v>
      </c>
      <c r="H263" s="16" t="s">
        <v>805</v>
      </c>
      <c r="I263" s="19" t="n">
        <v>-1.62109</v>
      </c>
      <c r="J263" s="19" t="n">
        <v>-0.46862</v>
      </c>
      <c r="K263" s="19" t="n">
        <v>-0.12407</v>
      </c>
      <c r="L263" s="19" t="n">
        <v>-0.04106</v>
      </c>
      <c r="M263" s="19" t="n">
        <v>0.01099</v>
      </c>
      <c r="N263" s="19" t="n">
        <v>0.12632</v>
      </c>
      <c r="O263" s="19" t="n">
        <v>0.2087</v>
      </c>
      <c r="P263" s="19" t="n">
        <v>-0.10303</v>
      </c>
      <c r="Q263" s="14" t="n">
        <v>6055</v>
      </c>
      <c r="R263" s="14" t="n">
        <v>60</v>
      </c>
      <c r="S263" s="20" t="n">
        <v>0.01484</v>
      </c>
      <c r="T263" s="21" t="n">
        <v>0.48365</v>
      </c>
      <c r="U263" s="14" t="n">
        <v>42</v>
      </c>
      <c r="V263" s="15" t="s">
        <v>39</v>
      </c>
    </row>
    <row r="264" customFormat="false" ht="15" hidden="false" customHeight="false" outlineLevel="0" collapsed="false">
      <c r="A264" s="6" t="n">
        <v>263</v>
      </c>
      <c r="B264" s="6" t="s">
        <v>806</v>
      </c>
      <c r="C264" s="7" t="s">
        <v>782</v>
      </c>
      <c r="D264" s="8" t="s">
        <v>807</v>
      </c>
      <c r="E264" s="7" t="s">
        <v>36</v>
      </c>
      <c r="F264" s="6" t="s">
        <v>65</v>
      </c>
      <c r="G264" s="9" t="n">
        <v>0.4</v>
      </c>
      <c r="H264" s="10" t="s">
        <v>808</v>
      </c>
      <c r="I264" s="11" t="n">
        <v>-0.4</v>
      </c>
      <c r="J264" s="11" t="n">
        <v>-0.2</v>
      </c>
      <c r="K264" s="11" t="n">
        <v>0</v>
      </c>
      <c r="L264" s="11" t="n">
        <v>0</v>
      </c>
      <c r="M264" s="11" t="n">
        <v>0.1</v>
      </c>
      <c r="N264" s="11" t="n">
        <v>0.2</v>
      </c>
      <c r="O264" s="11" t="n">
        <v>0.3</v>
      </c>
      <c r="P264" s="11" t="n">
        <v>0.02276</v>
      </c>
      <c r="Q264" s="6" t="n">
        <v>39</v>
      </c>
      <c r="R264" s="6" t="n">
        <v>74</v>
      </c>
      <c r="S264" s="12" t="n">
        <v>0.01158</v>
      </c>
      <c r="T264" s="13" t="n">
        <v>0.37752</v>
      </c>
      <c r="U264" s="6" t="n">
        <v>22</v>
      </c>
      <c r="V264" s="7" t="s">
        <v>39</v>
      </c>
    </row>
    <row r="265" customFormat="false" ht="15" hidden="false" customHeight="false" outlineLevel="0" collapsed="false">
      <c r="A265" s="14" t="n">
        <v>264</v>
      </c>
      <c r="B265" s="14" t="s">
        <v>809</v>
      </c>
      <c r="C265" s="15" t="s">
        <v>782</v>
      </c>
      <c r="D265" s="18" t="s">
        <v>810</v>
      </c>
      <c r="E265" s="15" t="s">
        <v>36</v>
      </c>
      <c r="F265" s="14" t="s">
        <v>65</v>
      </c>
      <c r="G265" s="17" t="n">
        <v>0.4</v>
      </c>
      <c r="H265" s="16" t="s">
        <v>811</v>
      </c>
      <c r="I265" s="19" t="n">
        <v>-24.42</v>
      </c>
      <c r="J265" s="19" t="n">
        <v>-12</v>
      </c>
      <c r="K265" s="19" t="n">
        <v>-3</v>
      </c>
      <c r="L265" s="19" t="n">
        <v>-1</v>
      </c>
      <c r="M265" s="19" t="n">
        <v>2</v>
      </c>
      <c r="N265" s="19" t="n">
        <v>6</v>
      </c>
      <c r="O265" s="19" t="n">
        <v>11</v>
      </c>
      <c r="P265" s="19" t="n">
        <v>-1.49589</v>
      </c>
      <c r="Q265" s="14" t="n">
        <v>87</v>
      </c>
      <c r="R265" s="14" t="n">
        <v>99</v>
      </c>
      <c r="S265" s="20" t="n">
        <v>0.00668</v>
      </c>
      <c r="T265" s="21" t="n">
        <v>0.21771</v>
      </c>
      <c r="U265" s="14" t="n">
        <v>17</v>
      </c>
      <c r="V265" s="15" t="s">
        <v>39</v>
      </c>
    </row>
    <row r="266" customFormat="false" ht="15" hidden="false" customHeight="false" outlineLevel="0" collapsed="false">
      <c r="A266" s="6" t="n">
        <v>265</v>
      </c>
      <c r="B266" s="6" t="s">
        <v>812</v>
      </c>
      <c r="C266" s="7" t="s">
        <v>782</v>
      </c>
      <c r="D266" s="8" t="s">
        <v>813</v>
      </c>
      <c r="E266" s="7" t="s">
        <v>36</v>
      </c>
      <c r="F266" s="7" t="s">
        <v>795</v>
      </c>
      <c r="G266" s="9" t="n">
        <v>0</v>
      </c>
      <c r="H266" s="10" t="s">
        <v>814</v>
      </c>
      <c r="I266" s="11" t="n">
        <v>5.38372</v>
      </c>
      <c r="J266" s="11" t="n">
        <v>8.57143</v>
      </c>
      <c r="K266" s="11" t="n">
        <v>14.16667</v>
      </c>
      <c r="L266" s="11" t="n">
        <v>19.28572</v>
      </c>
      <c r="M266" s="11" t="n">
        <v>26.66667</v>
      </c>
      <c r="N266" s="11" t="n">
        <v>43.33333</v>
      </c>
      <c r="O266" s="11" t="n">
        <v>60.83636</v>
      </c>
      <c r="P266" s="11" t="n">
        <v>21.79922</v>
      </c>
      <c r="Q266" s="6" t="n">
        <v>928</v>
      </c>
      <c r="R266" s="6" t="n">
        <v>61</v>
      </c>
      <c r="S266" s="12" t="n">
        <v>0.01423</v>
      </c>
      <c r="T266" s="13" t="n">
        <v>0.46394</v>
      </c>
      <c r="U266" s="6" t="n">
        <v>31</v>
      </c>
      <c r="V266" s="7" t="s">
        <v>39</v>
      </c>
    </row>
    <row r="267" customFormat="false" ht="15" hidden="false" customHeight="false" outlineLevel="0" collapsed="false">
      <c r="A267" s="14" t="n">
        <v>266</v>
      </c>
      <c r="B267" s="14" t="s">
        <v>815</v>
      </c>
      <c r="C267" s="15" t="s">
        <v>782</v>
      </c>
      <c r="D267" s="16" t="s">
        <v>816</v>
      </c>
      <c r="E267" s="15" t="s">
        <v>36</v>
      </c>
      <c r="F267" s="14" t="s">
        <v>490</v>
      </c>
      <c r="G267" s="17" t="n">
        <v>0.3</v>
      </c>
      <c r="H267" s="16" t="s">
        <v>817</v>
      </c>
      <c r="I267" s="19" t="n">
        <v>-1.3</v>
      </c>
      <c r="J267" s="19" t="n">
        <v>-0.9</v>
      </c>
      <c r="K267" s="19" t="n">
        <v>-0.4</v>
      </c>
      <c r="L267" s="19" t="n">
        <v>-0.1</v>
      </c>
      <c r="M267" s="19" t="n">
        <v>0.2</v>
      </c>
      <c r="N267" s="19" t="n">
        <v>0.7</v>
      </c>
      <c r="O267" s="19" t="n">
        <v>1.2</v>
      </c>
      <c r="P267" s="19" t="n">
        <v>-0.08678</v>
      </c>
      <c r="Q267" s="14" t="n">
        <v>86</v>
      </c>
      <c r="R267" s="14" t="n">
        <v>40</v>
      </c>
      <c r="S267" s="20" t="n">
        <v>0.02268</v>
      </c>
      <c r="T267" s="21" t="n">
        <v>0.73912</v>
      </c>
      <c r="U267" s="14" t="n">
        <v>19</v>
      </c>
      <c r="V267" s="15" t="s">
        <v>39</v>
      </c>
    </row>
    <row r="268" customFormat="false" ht="15" hidden="false" customHeight="false" outlineLevel="0" collapsed="false">
      <c r="A268" s="6" t="n">
        <v>267</v>
      </c>
      <c r="B268" s="6" t="s">
        <v>818</v>
      </c>
      <c r="C268" s="7" t="s">
        <v>782</v>
      </c>
      <c r="D268" s="10" t="s">
        <v>819</v>
      </c>
      <c r="E268" s="7" t="s">
        <v>36</v>
      </c>
      <c r="F268" s="6" t="s">
        <v>490</v>
      </c>
      <c r="G268" s="9" t="n">
        <v>0.4</v>
      </c>
      <c r="H268" s="10" t="s">
        <v>820</v>
      </c>
      <c r="I268" s="11" t="n">
        <v>-6</v>
      </c>
      <c r="J268" s="11" t="n">
        <v>-4</v>
      </c>
      <c r="K268" s="11" t="n">
        <v>-1</v>
      </c>
      <c r="L268" s="11" t="n">
        <v>1</v>
      </c>
      <c r="M268" s="11" t="n">
        <v>2</v>
      </c>
      <c r="N268" s="11" t="n">
        <v>5</v>
      </c>
      <c r="O268" s="11" t="n">
        <v>8</v>
      </c>
      <c r="P268" s="11" t="n">
        <v>0.66826</v>
      </c>
      <c r="Q268" s="6" t="n">
        <v>36</v>
      </c>
      <c r="R268" s="6" t="n">
        <v>50</v>
      </c>
      <c r="S268" s="12" t="n">
        <v>0.01683</v>
      </c>
      <c r="T268" s="13" t="n">
        <v>0.54867</v>
      </c>
      <c r="U268" s="6" t="n">
        <v>21</v>
      </c>
      <c r="V268" s="7" t="s">
        <v>39</v>
      </c>
    </row>
    <row r="269" customFormat="false" ht="15" hidden="false" customHeight="false" outlineLevel="0" collapsed="false">
      <c r="A269" s="14" t="n">
        <v>268</v>
      </c>
      <c r="B269" s="14" t="s">
        <v>821</v>
      </c>
      <c r="C269" s="15" t="s">
        <v>782</v>
      </c>
      <c r="D269" s="16" t="s">
        <v>822</v>
      </c>
      <c r="E269" s="15" t="s">
        <v>36</v>
      </c>
      <c r="F269" s="14" t="s">
        <v>89</v>
      </c>
      <c r="G269" s="17" t="n">
        <v>27.5</v>
      </c>
      <c r="H269" s="16" t="s">
        <v>823</v>
      </c>
      <c r="I269" s="19" t="n">
        <v>0.19661</v>
      </c>
      <c r="J269" s="19" t="n">
        <v>0.39601</v>
      </c>
      <c r="K269" s="19" t="n">
        <v>0.7512</v>
      </c>
      <c r="L269" s="19" t="n">
        <v>1.16584</v>
      </c>
      <c r="M269" s="19" t="n">
        <v>1.9087</v>
      </c>
      <c r="N269" s="19" t="n">
        <v>3.79803</v>
      </c>
      <c r="O269" s="19" t="n">
        <v>5.69633</v>
      </c>
      <c r="P269" s="19" t="n">
        <v>1.51064</v>
      </c>
      <c r="Q269" s="14" t="n">
        <v>7782</v>
      </c>
      <c r="R269" s="14" t="n">
        <v>5</v>
      </c>
      <c r="S269" s="20" t="n">
        <v>0.11658</v>
      </c>
      <c r="T269" s="21" t="n">
        <v>3.79994</v>
      </c>
      <c r="U269" s="14" t="n">
        <v>61</v>
      </c>
      <c r="V269" s="15" t="s">
        <v>39</v>
      </c>
    </row>
    <row r="270" customFormat="false" ht="15" hidden="false" customHeight="false" outlineLevel="0" collapsed="false">
      <c r="A270" s="6" t="n">
        <v>269</v>
      </c>
      <c r="B270" s="6" t="s">
        <v>824</v>
      </c>
      <c r="C270" s="7" t="s">
        <v>782</v>
      </c>
      <c r="D270" s="10" t="s">
        <v>825</v>
      </c>
      <c r="E270" s="7" t="s">
        <v>36</v>
      </c>
      <c r="F270" s="6" t="s">
        <v>89</v>
      </c>
      <c r="G270" s="9" t="n">
        <v>18.4</v>
      </c>
      <c r="H270" s="10" t="s">
        <v>826</v>
      </c>
      <c r="I270" s="11" t="n">
        <v>0.24335</v>
      </c>
      <c r="J270" s="11" t="n">
        <v>0.45819</v>
      </c>
      <c r="K270" s="11" t="n">
        <v>0.8103</v>
      </c>
      <c r="L270" s="11" t="n">
        <v>1.20966</v>
      </c>
      <c r="M270" s="11" t="n">
        <v>1.82828</v>
      </c>
      <c r="N270" s="11" t="n">
        <v>3.27713</v>
      </c>
      <c r="O270" s="11" t="n">
        <v>4.90354</v>
      </c>
      <c r="P270" s="11" t="n">
        <v>1.46053</v>
      </c>
      <c r="Q270" s="6" t="n">
        <v>8921</v>
      </c>
      <c r="R270" s="6" t="n">
        <v>20</v>
      </c>
      <c r="S270" s="12" t="n">
        <v>0.03962</v>
      </c>
      <c r="T270" s="13" t="n">
        <v>1.29148</v>
      </c>
      <c r="U270" s="6" t="n">
        <v>47</v>
      </c>
      <c r="V270" s="7" t="s">
        <v>39</v>
      </c>
    </row>
    <row r="271" customFormat="false" ht="15" hidden="false" customHeight="false" outlineLevel="0" collapsed="false">
      <c r="A271" s="14" t="n">
        <v>270</v>
      </c>
      <c r="B271" s="14" t="s">
        <v>827</v>
      </c>
      <c r="C271" s="15" t="s">
        <v>782</v>
      </c>
      <c r="D271" s="16" t="s">
        <v>828</v>
      </c>
      <c r="E271" s="15" t="s">
        <v>36</v>
      </c>
      <c r="F271" s="14" t="s">
        <v>89</v>
      </c>
      <c r="G271" s="17" t="n">
        <v>11</v>
      </c>
      <c r="H271" s="16" t="s">
        <v>829</v>
      </c>
      <c r="I271" s="19" t="n">
        <v>0.25635</v>
      </c>
      <c r="J271" s="19" t="n">
        <v>0.50211</v>
      </c>
      <c r="K271" s="19" t="n">
        <v>0.85588</v>
      </c>
      <c r="L271" s="19" t="n">
        <v>1.22128</v>
      </c>
      <c r="M271" s="19" t="n">
        <v>1.74635</v>
      </c>
      <c r="N271" s="19" t="n">
        <v>2.98183</v>
      </c>
      <c r="O271" s="19" t="n">
        <v>4.26401</v>
      </c>
      <c r="P271" s="19" t="n">
        <v>1.41354</v>
      </c>
      <c r="Q271" s="14" t="n">
        <v>9751</v>
      </c>
      <c r="R271" s="14" t="n">
        <v>44</v>
      </c>
      <c r="S271" s="20" t="n">
        <v>0.01939</v>
      </c>
      <c r="T271" s="21" t="n">
        <v>0.63194</v>
      </c>
      <c r="U271" s="14" t="n">
        <v>39</v>
      </c>
      <c r="V271" s="15" t="s">
        <v>39</v>
      </c>
    </row>
    <row r="272" customFormat="false" ht="15" hidden="false" customHeight="false" outlineLevel="0" collapsed="false">
      <c r="A272" s="6" t="n">
        <v>271</v>
      </c>
      <c r="B272" s="6" t="s">
        <v>830</v>
      </c>
      <c r="C272" s="7" t="s">
        <v>782</v>
      </c>
      <c r="D272" s="10" t="s">
        <v>831</v>
      </c>
      <c r="E272" s="7" t="s">
        <v>36</v>
      </c>
      <c r="F272" s="6" t="s">
        <v>89</v>
      </c>
      <c r="G272" s="9" t="n">
        <v>22.7</v>
      </c>
      <c r="H272" s="10" t="s">
        <v>832</v>
      </c>
      <c r="I272" s="11" t="n">
        <v>-2.41744</v>
      </c>
      <c r="J272" s="11" t="n">
        <v>-1.29926</v>
      </c>
      <c r="K272" s="11" t="n">
        <v>-0.35391</v>
      </c>
      <c r="L272" s="11" t="n">
        <v>0.00301</v>
      </c>
      <c r="M272" s="11" t="n">
        <v>0.42573</v>
      </c>
      <c r="N272" s="11" t="n">
        <v>1.55429</v>
      </c>
      <c r="O272" s="11" t="n">
        <v>2.8546</v>
      </c>
      <c r="P272" s="11" t="n">
        <v>0.05705</v>
      </c>
      <c r="Q272" s="6" t="n">
        <v>8437</v>
      </c>
      <c r="R272" s="6" t="n">
        <v>43</v>
      </c>
      <c r="S272" s="12" t="n">
        <v>0.02003</v>
      </c>
      <c r="T272" s="13" t="n">
        <v>0.653</v>
      </c>
      <c r="U272" s="6" t="n">
        <v>41</v>
      </c>
      <c r="V272" s="7" t="s">
        <v>39</v>
      </c>
    </row>
    <row r="273" customFormat="false" ht="15" hidden="false" customHeight="false" outlineLevel="0" collapsed="false">
      <c r="A273" s="14" t="n">
        <v>272</v>
      </c>
      <c r="B273" s="14" t="s">
        <v>833</v>
      </c>
      <c r="C273" s="15" t="s">
        <v>782</v>
      </c>
      <c r="D273" s="16" t="s">
        <v>834</v>
      </c>
      <c r="E273" s="15" t="s">
        <v>72</v>
      </c>
      <c r="F273" s="15" t="s">
        <v>77</v>
      </c>
      <c r="G273" s="17" t="n">
        <v>0</v>
      </c>
      <c r="H273" s="16" t="s">
        <v>835</v>
      </c>
      <c r="I273" s="19" t="n">
        <v>0</v>
      </c>
      <c r="J273" s="19" t="n">
        <v>0</v>
      </c>
      <c r="K273" s="19" t="n">
        <v>4</v>
      </c>
      <c r="L273" s="19" t="n">
        <v>9</v>
      </c>
      <c r="M273" s="19" t="n">
        <v>11</v>
      </c>
      <c r="N273" s="19" t="n">
        <v>12</v>
      </c>
      <c r="O273" s="19" t="n">
        <v>12</v>
      </c>
      <c r="P273" s="19" t="n">
        <v>7.33809</v>
      </c>
      <c r="Q273" s="14" t="n">
        <v>13</v>
      </c>
      <c r="R273" s="14" t="n">
        <v>29</v>
      </c>
      <c r="S273" s="20" t="n">
        <v>0.02835</v>
      </c>
      <c r="T273" s="21" t="n">
        <v>0.92421</v>
      </c>
      <c r="U273" s="14" t="n">
        <v>18</v>
      </c>
      <c r="V273" s="15" t="s">
        <v>39</v>
      </c>
    </row>
    <row r="274" customFormat="false" ht="15" hidden="false" customHeight="false" outlineLevel="0" collapsed="false">
      <c r="A274" s="6" t="n">
        <v>273</v>
      </c>
      <c r="B274" s="6" t="s">
        <v>836</v>
      </c>
      <c r="C274" s="7" t="s">
        <v>782</v>
      </c>
      <c r="D274" s="10" t="s">
        <v>837</v>
      </c>
      <c r="E274" s="7" t="s">
        <v>72</v>
      </c>
      <c r="F274" s="7" t="s">
        <v>77</v>
      </c>
      <c r="G274" s="9" t="n">
        <v>18.4</v>
      </c>
      <c r="H274" s="10" t="s">
        <v>838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2</v>
      </c>
      <c r="N274" s="11" t="n">
        <v>6</v>
      </c>
      <c r="O274" s="11" t="n">
        <v>9</v>
      </c>
      <c r="P274" s="11" t="n">
        <v>1.13979</v>
      </c>
      <c r="Q274" s="6" t="n">
        <v>13</v>
      </c>
      <c r="R274" s="6" t="n">
        <v>3</v>
      </c>
      <c r="S274" s="12" t="n">
        <v>0.13893</v>
      </c>
      <c r="T274" s="13" t="n">
        <v>4.52849</v>
      </c>
      <c r="U274" s="6" t="n">
        <v>30</v>
      </c>
      <c r="V274" s="7" t="s">
        <v>39</v>
      </c>
    </row>
    <row r="275" customFormat="false" ht="15" hidden="false" customHeight="false" outlineLevel="0" collapsed="false">
      <c r="A275" s="14" t="n">
        <v>274</v>
      </c>
      <c r="B275" s="14" t="s">
        <v>839</v>
      </c>
      <c r="C275" s="15" t="s">
        <v>782</v>
      </c>
      <c r="D275" s="16" t="s">
        <v>840</v>
      </c>
      <c r="E275" s="15" t="s">
        <v>72</v>
      </c>
      <c r="F275" s="15" t="s">
        <v>77</v>
      </c>
      <c r="G275" s="17" t="n">
        <v>5.7</v>
      </c>
      <c r="H275" s="16" t="s">
        <v>74</v>
      </c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0</v>
      </c>
      <c r="O275" s="19" t="n">
        <v>1</v>
      </c>
      <c r="P275" s="19" t="n">
        <v>0.04813</v>
      </c>
      <c r="Q275" s="14" t="n">
        <v>15</v>
      </c>
      <c r="R275" s="14" t="n">
        <v>189</v>
      </c>
      <c r="S275" s="20" t="n">
        <v>0.00012</v>
      </c>
      <c r="T275" s="21" t="n">
        <v>0.00378</v>
      </c>
      <c r="U275" s="14" t="n">
        <v>1</v>
      </c>
      <c r="V275" s="15" t="s">
        <v>39</v>
      </c>
    </row>
    <row r="276" customFormat="false" ht="15" hidden="false" customHeight="false" outlineLevel="0" collapsed="false">
      <c r="A276" s="6" t="n">
        <v>275</v>
      </c>
      <c r="B276" s="6" t="s">
        <v>841</v>
      </c>
      <c r="C276" s="7" t="s">
        <v>782</v>
      </c>
      <c r="D276" s="10" t="s">
        <v>842</v>
      </c>
      <c r="E276" s="7" t="s">
        <v>36</v>
      </c>
      <c r="F276" s="6" t="s">
        <v>521</v>
      </c>
      <c r="G276" s="9" t="n">
        <v>2.2</v>
      </c>
      <c r="H276" s="10" t="s">
        <v>843</v>
      </c>
      <c r="I276" s="11" t="n">
        <v>42</v>
      </c>
      <c r="J276" s="11" t="n">
        <v>52</v>
      </c>
      <c r="K276" s="11" t="n">
        <v>61.5</v>
      </c>
      <c r="L276" s="11" t="n">
        <v>69</v>
      </c>
      <c r="M276" s="11" t="n">
        <v>78</v>
      </c>
      <c r="N276" s="11" t="n">
        <v>93</v>
      </c>
      <c r="O276" s="11" t="n">
        <v>104</v>
      </c>
      <c r="P276" s="11" t="n">
        <v>70.32175</v>
      </c>
      <c r="Q276" s="6" t="n">
        <v>281</v>
      </c>
      <c r="R276" s="6" t="n">
        <v>49</v>
      </c>
      <c r="S276" s="12" t="n">
        <v>0.01698</v>
      </c>
      <c r="T276" s="13" t="n">
        <v>0.55358</v>
      </c>
      <c r="U276" s="6" t="n">
        <v>38</v>
      </c>
      <c r="V276" s="7" t="s">
        <v>39</v>
      </c>
    </row>
    <row r="277" customFormat="false" ht="15" hidden="false" customHeight="false" outlineLevel="0" collapsed="false">
      <c r="A277" s="14" t="n">
        <v>276</v>
      </c>
      <c r="B277" s="14" t="s">
        <v>844</v>
      </c>
      <c r="C277" s="15" t="s">
        <v>782</v>
      </c>
      <c r="D277" s="16" t="s">
        <v>845</v>
      </c>
      <c r="E277" s="15" t="s">
        <v>72</v>
      </c>
      <c r="F277" s="15" t="s">
        <v>77</v>
      </c>
      <c r="G277" s="17" t="n">
        <v>1.5</v>
      </c>
      <c r="H277" s="16" t="s">
        <v>846</v>
      </c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3</v>
      </c>
      <c r="N277" s="19" t="n">
        <v>11</v>
      </c>
      <c r="O277" s="19" t="n">
        <v>18</v>
      </c>
      <c r="P277" s="19" t="n">
        <v>2.29095</v>
      </c>
      <c r="Q277" s="14" t="n">
        <v>25</v>
      </c>
      <c r="R277" s="14" t="n">
        <v>156</v>
      </c>
      <c r="S277" s="20" t="n">
        <v>0.00152</v>
      </c>
      <c r="T277" s="21" t="n">
        <v>0.0495</v>
      </c>
      <c r="U277" s="14" t="n">
        <v>4</v>
      </c>
      <c r="V277" s="15" t="s">
        <v>39</v>
      </c>
    </row>
    <row r="278" customFormat="false" ht="15" hidden="false" customHeight="false" outlineLevel="0" collapsed="false">
      <c r="A278" s="6" t="n">
        <v>277</v>
      </c>
      <c r="B278" s="6" t="s">
        <v>847</v>
      </c>
      <c r="C278" s="7" t="s">
        <v>782</v>
      </c>
      <c r="D278" s="10" t="s">
        <v>848</v>
      </c>
      <c r="E278" s="7" t="s">
        <v>36</v>
      </c>
      <c r="F278" s="6" t="s">
        <v>93</v>
      </c>
      <c r="G278" s="9" t="n">
        <v>13.9</v>
      </c>
      <c r="H278" s="10" t="s">
        <v>849</v>
      </c>
      <c r="I278" s="11" t="n">
        <v>271.94673</v>
      </c>
      <c r="J278" s="11" t="n">
        <v>640</v>
      </c>
      <c r="K278" s="11" t="n">
        <v>1400.7171</v>
      </c>
      <c r="L278" s="11" t="n">
        <v>2258.5498</v>
      </c>
      <c r="M278" s="11" t="n">
        <v>3366.79895</v>
      </c>
      <c r="N278" s="11" t="n">
        <v>5749.74683</v>
      </c>
      <c r="O278" s="11" t="n">
        <v>8489.60088</v>
      </c>
      <c r="P278" s="11" t="n">
        <v>2600.10571</v>
      </c>
      <c r="Q278" s="6" t="n">
        <v>8692</v>
      </c>
      <c r="R278" s="6" t="n">
        <v>42</v>
      </c>
      <c r="S278" s="12" t="n">
        <v>0.02122</v>
      </c>
      <c r="T278" s="13" t="n">
        <v>0.69168</v>
      </c>
      <c r="U278" s="6" t="n">
        <v>43</v>
      </c>
      <c r="V278" s="7" t="s">
        <v>39</v>
      </c>
    </row>
    <row r="279" customFormat="false" ht="15" hidden="false" customHeight="false" outlineLevel="0" collapsed="false">
      <c r="A279" s="14" t="n">
        <v>278</v>
      </c>
      <c r="B279" s="14" t="s">
        <v>850</v>
      </c>
      <c r="C279" s="15" t="s">
        <v>782</v>
      </c>
      <c r="D279" s="16" t="s">
        <v>851</v>
      </c>
      <c r="E279" s="15" t="s">
        <v>36</v>
      </c>
      <c r="F279" s="14" t="s">
        <v>93</v>
      </c>
      <c r="G279" s="17" t="n">
        <v>4.3</v>
      </c>
      <c r="H279" s="16" t="s">
        <v>852</v>
      </c>
      <c r="I279" s="19" t="n">
        <v>150</v>
      </c>
      <c r="J279" s="19" t="n">
        <v>500</v>
      </c>
      <c r="K279" s="19" t="n">
        <v>1195</v>
      </c>
      <c r="L279" s="19" t="n">
        <v>1855</v>
      </c>
      <c r="M279" s="19" t="n">
        <v>2710</v>
      </c>
      <c r="N279" s="19" t="n">
        <v>4500</v>
      </c>
      <c r="O279" s="19" t="n">
        <v>6290</v>
      </c>
      <c r="P279" s="19" t="n">
        <v>2092.53345</v>
      </c>
      <c r="Q279" s="14" t="n">
        <v>1632</v>
      </c>
      <c r="R279" s="14" t="n">
        <v>45</v>
      </c>
      <c r="S279" s="20" t="n">
        <v>0.0191</v>
      </c>
      <c r="T279" s="21" t="n">
        <v>0.62257</v>
      </c>
      <c r="U279" s="14" t="n">
        <v>28</v>
      </c>
      <c r="V279" s="15" t="s">
        <v>39</v>
      </c>
    </row>
    <row r="280" customFormat="false" ht="15" hidden="false" customHeight="false" outlineLevel="0" collapsed="false">
      <c r="A280" s="6" t="n">
        <v>279</v>
      </c>
      <c r="B280" s="6" t="s">
        <v>853</v>
      </c>
      <c r="C280" s="7" t="s">
        <v>782</v>
      </c>
      <c r="D280" s="10" t="s">
        <v>854</v>
      </c>
      <c r="E280" s="7" t="s">
        <v>36</v>
      </c>
      <c r="F280" s="6" t="s">
        <v>93</v>
      </c>
      <c r="G280" s="9" t="n">
        <v>17</v>
      </c>
      <c r="H280" s="10" t="s">
        <v>855</v>
      </c>
      <c r="I280" s="11" t="n">
        <v>-3453.64246</v>
      </c>
      <c r="J280" s="11" t="n">
        <v>-2080.33665</v>
      </c>
      <c r="K280" s="11" t="n">
        <v>-584.41647</v>
      </c>
      <c r="L280" s="11" t="n">
        <v>369.29956</v>
      </c>
      <c r="M280" s="11" t="n">
        <v>1365.96545</v>
      </c>
      <c r="N280" s="11" t="n">
        <v>3331.35308</v>
      </c>
      <c r="O280" s="11" t="n">
        <v>5989.9398</v>
      </c>
      <c r="P280" s="11" t="n">
        <v>473.92099</v>
      </c>
      <c r="Q280" s="6" t="n">
        <v>8699</v>
      </c>
      <c r="R280" s="6" t="n">
        <v>28</v>
      </c>
      <c r="S280" s="12" t="n">
        <v>0.02871</v>
      </c>
      <c r="T280" s="13" t="n">
        <v>0.93592</v>
      </c>
      <c r="U280" s="6" t="n">
        <v>62</v>
      </c>
      <c r="V280" s="7" t="s">
        <v>39</v>
      </c>
    </row>
    <row r="281" customFormat="false" ht="15" hidden="false" customHeight="false" outlineLevel="0" collapsed="false">
      <c r="A281" s="14" t="n">
        <v>280</v>
      </c>
      <c r="B281" s="14" t="s">
        <v>856</v>
      </c>
      <c r="C281" s="15" t="s">
        <v>782</v>
      </c>
      <c r="D281" s="16" t="s">
        <v>857</v>
      </c>
      <c r="E281" s="15" t="s">
        <v>72</v>
      </c>
      <c r="F281" s="15" t="s">
        <v>77</v>
      </c>
      <c r="G281" s="17" t="n">
        <v>0</v>
      </c>
      <c r="H281" s="16" t="s">
        <v>858</v>
      </c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12</v>
      </c>
      <c r="O281" s="19" t="n">
        <v>12</v>
      </c>
      <c r="P281" s="19" t="n">
        <v>1.48009</v>
      </c>
      <c r="Q281" s="14" t="n">
        <v>13</v>
      </c>
      <c r="R281" s="14" t="n">
        <v>184</v>
      </c>
      <c r="S281" s="20" t="n">
        <v>0.00048</v>
      </c>
      <c r="T281" s="21" t="n">
        <v>0.01555</v>
      </c>
      <c r="U281" s="14" t="n">
        <v>1</v>
      </c>
      <c r="V281" s="15" t="s">
        <v>39</v>
      </c>
    </row>
  </sheetData>
  <autoFilter ref="A1:V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30" hidden="false" customHeight="true" outlineLevel="0" collapsed="false">
      <c r="A1" s="4" t="s">
        <v>13</v>
      </c>
      <c r="B1" s="4" t="s">
        <v>859</v>
      </c>
      <c r="C1" s="4" t="s">
        <v>860</v>
      </c>
      <c r="D1" s="5" t="s">
        <v>861</v>
      </c>
      <c r="E1" s="4" t="s">
        <v>862</v>
      </c>
    </row>
    <row r="2" customFormat="false" ht="15" hidden="false" customHeight="false" outlineLevel="0" collapsed="false">
      <c r="A2" s="22" t="s">
        <v>782</v>
      </c>
      <c r="B2" s="22" t="n">
        <f aca="false">COUNTIF('변수 목록'!$C$2:$C$281,A2)</f>
        <v>26</v>
      </c>
      <c r="C2" s="22" t="n">
        <f aca="false">COUNTIFS('변수 목록'!$C$2:$C$281,A2,'변수 목록'!$U$2:$U$281,"&gt;0")</f>
        <v>26</v>
      </c>
      <c r="D2" s="23" t="n">
        <f aca="false">SUMIF('변수 목록'!$C$2:$C$281,A2,'변수 목록'!$T$2:$T$281)</f>
        <v>22.682</v>
      </c>
      <c r="E2" s="23" t="n">
        <f aca="false">AVERAGEIF('변수 목록'!$C$2:$C$281,A2,'변수 목록'!$G$2:$G$281)</f>
        <v>5.56923076923077</v>
      </c>
    </row>
    <row r="3" customFormat="false" ht="15" hidden="false" customHeight="false" outlineLevel="0" collapsed="false">
      <c r="A3" s="22" t="s">
        <v>63</v>
      </c>
      <c r="B3" s="22" t="n">
        <f aca="false">COUNTIF('변수 목록'!$C$2:$C$281,A3)</f>
        <v>56</v>
      </c>
      <c r="C3" s="22" t="n">
        <f aca="false">COUNTIFS('변수 목록'!$C$2:$C$281,A3,'변수 목록'!$U$2:$U$281,"&gt;0")</f>
        <v>53</v>
      </c>
      <c r="D3" s="23" t="n">
        <f aca="false">SUMIF('변수 목록'!$C$2:$C$281,A3,'변수 목록'!$T$2:$T$281)</f>
        <v>19.63844</v>
      </c>
      <c r="E3" s="23" t="n">
        <f aca="false">AVERAGEIF('변수 목록'!$C$2:$C$281,A3,'변수 목록'!$G$2:$G$281)</f>
        <v>6.81071428571429</v>
      </c>
    </row>
    <row r="4" customFormat="false" ht="15" hidden="false" customHeight="false" outlineLevel="0" collapsed="false">
      <c r="A4" s="22" t="s">
        <v>519</v>
      </c>
      <c r="B4" s="22" t="n">
        <f aca="false">COUNTIF('변수 목록'!$C$2:$C$281,A4)</f>
        <v>30</v>
      </c>
      <c r="C4" s="22" t="n">
        <f aca="false">COUNTIFS('변수 목록'!$C$2:$C$281,A4,'변수 목록'!$U$2:$U$281,"&gt;0")</f>
        <v>30</v>
      </c>
      <c r="D4" s="23" t="n">
        <f aca="false">SUMIF('변수 목록'!$C$2:$C$281,A4,'변수 목록'!$T$2:$T$281)</f>
        <v>18.07661</v>
      </c>
      <c r="E4" s="23" t="n">
        <f aca="false">AVERAGEIF('변수 목록'!$C$2:$C$281,A4,'변수 목록'!$G$2:$G$281)</f>
        <v>0.4</v>
      </c>
    </row>
    <row r="5" customFormat="false" ht="15" hidden="false" customHeight="false" outlineLevel="0" collapsed="false">
      <c r="A5" s="22" t="s">
        <v>87</v>
      </c>
      <c r="B5" s="22" t="n">
        <f aca="false">COUNTIF('변수 목록'!$C$2:$C$281,A5)</f>
        <v>20</v>
      </c>
      <c r="C5" s="22" t="n">
        <f aca="false">COUNTIFS('변수 목록'!$C$2:$C$281,A5,'변수 목록'!$U$2:$U$281,"&gt;0")</f>
        <v>20</v>
      </c>
      <c r="D5" s="23" t="n">
        <f aca="false">SUMIF('변수 목록'!$C$2:$C$281,A5,'변수 목록'!$T$2:$T$281)</f>
        <v>17.94798</v>
      </c>
      <c r="E5" s="23" t="n">
        <f aca="false">AVERAGEIF('변수 목록'!$C$2:$C$281,A5,'변수 목록'!$G$2:$G$281)</f>
        <v>25.6</v>
      </c>
    </row>
    <row r="6" customFormat="false" ht="15" hidden="false" customHeight="false" outlineLevel="0" collapsed="false">
      <c r="A6" s="22" t="s">
        <v>34</v>
      </c>
      <c r="B6" s="22" t="n">
        <f aca="false">COUNTIF('변수 목록'!$C$2:$C$281,A6)</f>
        <v>13</v>
      </c>
      <c r="C6" s="22" t="n">
        <f aca="false">COUNTIFS('변수 목록'!$C$2:$C$281,A6,'변수 목록'!$U$2:$U$281,"&gt;0")</f>
        <v>7</v>
      </c>
      <c r="D6" s="23" t="n">
        <f aca="false">SUMIF('변수 목록'!$C$2:$C$281,A6,'변수 목록'!$T$2:$T$281)</f>
        <v>10.78066</v>
      </c>
      <c r="E6" s="23" t="n">
        <f aca="false">AVERAGEIF('변수 목록'!$C$2:$C$281,A6,'변수 목록'!$G$2:$G$281)</f>
        <v>7.63846153846154</v>
      </c>
    </row>
    <row r="7" customFormat="false" ht="15" hidden="false" customHeight="false" outlineLevel="0" collapsed="false">
      <c r="A7" s="22" t="s">
        <v>134</v>
      </c>
      <c r="B7" s="22" t="n">
        <f aca="false">COUNTIF('변수 목록'!$C$2:$C$281,A7)</f>
        <v>124</v>
      </c>
      <c r="C7" s="22" t="n">
        <f aca="false">COUNTIFS('변수 목록'!$C$2:$C$281,A7,'변수 목록'!$U$2:$U$281,"&gt;0")</f>
        <v>50</v>
      </c>
      <c r="D7" s="23" t="n">
        <f aca="false">SUMIF('변수 목록'!$C$2:$C$281,A7,'변수 목록'!$T$2:$T$281)</f>
        <v>6.61583</v>
      </c>
      <c r="E7" s="23" t="n">
        <f aca="false">AVERAGEIF('변수 목록'!$C$2:$C$281,A7,'변수 목록'!$G$2:$G$281)</f>
        <v>0</v>
      </c>
    </row>
    <row r="8" customFormat="false" ht="15" hidden="false" customHeight="false" outlineLevel="0" collapsed="false">
      <c r="A8" s="22" t="s">
        <v>99</v>
      </c>
      <c r="B8" s="22" t="n">
        <f aca="false">COUNTIF('변수 목록'!$C$2:$C$281,A8)</f>
        <v>11</v>
      </c>
      <c r="C8" s="22" t="n">
        <f aca="false">COUNTIFS('변수 목록'!$C$2:$C$281,A8,'변수 목록'!$U$2:$U$281,"&gt;0")</f>
        <v>3</v>
      </c>
      <c r="D8" s="23" t="n">
        <f aca="false">SUMIF('변수 목록'!$C$2:$C$281,A8,'변수 목록'!$T$2:$T$281)</f>
        <v>4.25844</v>
      </c>
      <c r="E8" s="23" t="n">
        <f aca="false">AVERAGEIF('변수 목록'!$C$2:$C$281,A8,'변수 목록'!$G$2:$G$281)</f>
        <v>0</v>
      </c>
    </row>
    <row r="9" customFormat="false" ht="15" hidden="false" customHeight="false" outlineLevel="0" collapsed="false">
      <c r="A9" s="24" t="s">
        <v>863</v>
      </c>
      <c r="B9" s="24" t="n">
        <f aca="false">SUM(B2:B8)</f>
        <v>280</v>
      </c>
      <c r="C9" s="24" t="n">
        <f aca="false">SUM(C2:C8)</f>
        <v>189</v>
      </c>
      <c r="D9" s="25" t="n">
        <f aca="false">SUM(D2:D8)</f>
        <v>99.99996</v>
      </c>
    </row>
    <row r="11" customFormat="false" ht="15" hidden="false" customHeight="false" outlineLevel="0" collapsed="false">
      <c r="A11" s="26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27" t="s">
        <v>12</v>
      </c>
      <c r="B1" s="27" t="s">
        <v>865</v>
      </c>
      <c r="C1" s="27" t="s">
        <v>866</v>
      </c>
    </row>
    <row r="2" customFormat="false" ht="15" hidden="false" customHeight="false" outlineLevel="0" collapsed="false">
      <c r="A2" s="28" t="s">
        <v>40</v>
      </c>
      <c r="B2" s="28" t="s">
        <v>867</v>
      </c>
      <c r="C2" s="28" t="s">
        <v>868</v>
      </c>
    </row>
    <row r="3" customFormat="false" ht="15" hidden="false" customHeight="false" outlineLevel="0" collapsed="false">
      <c r="A3" s="28" t="s">
        <v>40</v>
      </c>
      <c r="B3" s="28" t="s">
        <v>869</v>
      </c>
      <c r="C3" s="28" t="s">
        <v>870</v>
      </c>
    </row>
    <row r="4" customFormat="false" ht="15" hidden="false" customHeight="false" outlineLevel="0" collapsed="false">
      <c r="A4" s="28" t="s">
        <v>44</v>
      </c>
      <c r="B4" s="28" t="s">
        <v>871</v>
      </c>
      <c r="C4" s="28" t="s">
        <v>872</v>
      </c>
    </row>
    <row r="5" customFormat="false" ht="15" hidden="false" customHeight="false" outlineLevel="0" collapsed="false">
      <c r="A5" s="28" t="s">
        <v>44</v>
      </c>
      <c r="B5" s="28" t="s">
        <v>873</v>
      </c>
      <c r="C5" s="28" t="s">
        <v>874</v>
      </c>
    </row>
    <row r="6" customFormat="false" ht="15" hidden="false" customHeight="false" outlineLevel="0" collapsed="false">
      <c r="A6" s="28" t="s">
        <v>44</v>
      </c>
      <c r="B6" s="28" t="s">
        <v>875</v>
      </c>
      <c r="C6" s="28" t="s">
        <v>876</v>
      </c>
    </row>
    <row r="7" customFormat="false" ht="15" hidden="false" customHeight="false" outlineLevel="0" collapsed="false">
      <c r="A7" s="28" t="s">
        <v>44</v>
      </c>
      <c r="B7" s="28" t="s">
        <v>877</v>
      </c>
      <c r="C7" s="28" t="s">
        <v>878</v>
      </c>
    </row>
    <row r="8" customFormat="false" ht="15" hidden="false" customHeight="false" outlineLevel="0" collapsed="false">
      <c r="A8" s="28" t="s">
        <v>44</v>
      </c>
      <c r="B8" s="28" t="s">
        <v>879</v>
      </c>
      <c r="C8" s="28" t="s">
        <v>880</v>
      </c>
    </row>
    <row r="9" customFormat="false" ht="15" hidden="false" customHeight="false" outlineLevel="0" collapsed="false">
      <c r="A9" s="28" t="s">
        <v>44</v>
      </c>
      <c r="B9" s="28" t="s">
        <v>881</v>
      </c>
      <c r="C9" s="28" t="s">
        <v>882</v>
      </c>
    </row>
    <row r="10" customFormat="false" ht="15" hidden="false" customHeight="false" outlineLevel="0" collapsed="false">
      <c r="A10" s="28" t="s">
        <v>44</v>
      </c>
      <c r="B10" s="28" t="s">
        <v>883</v>
      </c>
      <c r="C10" s="28" t="s">
        <v>884</v>
      </c>
    </row>
    <row r="11" customFormat="false" ht="15" hidden="false" customHeight="false" outlineLevel="0" collapsed="false">
      <c r="A11" s="28" t="s">
        <v>44</v>
      </c>
      <c r="B11" s="28" t="s">
        <v>885</v>
      </c>
      <c r="C11" s="28" t="s">
        <v>886</v>
      </c>
    </row>
    <row r="12" customFormat="false" ht="15" hidden="false" customHeight="false" outlineLevel="0" collapsed="false">
      <c r="A12" s="28" t="s">
        <v>44</v>
      </c>
      <c r="B12" s="28" t="s">
        <v>887</v>
      </c>
      <c r="C12" s="28" t="s">
        <v>888</v>
      </c>
    </row>
    <row r="13" customFormat="false" ht="15" hidden="false" customHeight="false" outlineLevel="0" collapsed="false">
      <c r="A13" s="28" t="s">
        <v>44</v>
      </c>
      <c r="B13" s="28" t="s">
        <v>889</v>
      </c>
      <c r="C13" s="28" t="s">
        <v>890</v>
      </c>
    </row>
    <row r="14" customFormat="false" ht="15" hidden="false" customHeight="false" outlineLevel="0" collapsed="false">
      <c r="A14" s="28" t="s">
        <v>44</v>
      </c>
      <c r="B14" s="28" t="s">
        <v>891</v>
      </c>
      <c r="C14" s="28" t="s">
        <v>892</v>
      </c>
    </row>
    <row r="15" customFormat="false" ht="15" hidden="false" customHeight="false" outlineLevel="0" collapsed="false">
      <c r="A15" s="28" t="s">
        <v>44</v>
      </c>
      <c r="B15" s="28" t="s">
        <v>893</v>
      </c>
      <c r="C15" s="28" t="s">
        <v>892</v>
      </c>
    </row>
    <row r="16" customFormat="false" ht="15" hidden="false" customHeight="false" outlineLevel="0" collapsed="false">
      <c r="A16" s="28" t="s">
        <v>44</v>
      </c>
      <c r="B16" s="28" t="s">
        <v>894</v>
      </c>
      <c r="C16" s="28" t="s">
        <v>892</v>
      </c>
    </row>
    <row r="17" customFormat="false" ht="15" hidden="false" customHeight="false" outlineLevel="0" collapsed="false">
      <c r="A17" s="28" t="s">
        <v>44</v>
      </c>
      <c r="B17" s="28" t="s">
        <v>895</v>
      </c>
      <c r="C17" s="28" t="s">
        <v>892</v>
      </c>
    </row>
    <row r="18" customFormat="false" ht="15" hidden="false" customHeight="false" outlineLevel="0" collapsed="false">
      <c r="A18" s="28" t="s">
        <v>47</v>
      </c>
      <c r="B18" s="28" t="s">
        <v>896</v>
      </c>
      <c r="C18" s="28" t="s">
        <v>897</v>
      </c>
    </row>
    <row r="19" customFormat="false" ht="15" hidden="false" customHeight="false" outlineLevel="0" collapsed="false">
      <c r="A19" s="28" t="s">
        <v>47</v>
      </c>
      <c r="B19" s="28" t="s">
        <v>898</v>
      </c>
      <c r="C19" s="28" t="s">
        <v>899</v>
      </c>
    </row>
    <row r="20" customFormat="false" ht="15" hidden="false" customHeight="false" outlineLevel="0" collapsed="false">
      <c r="A20" s="28" t="s">
        <v>47</v>
      </c>
      <c r="B20" s="28" t="s">
        <v>900</v>
      </c>
      <c r="C20" s="28" t="s">
        <v>901</v>
      </c>
    </row>
    <row r="21" customFormat="false" ht="15" hidden="false" customHeight="false" outlineLevel="0" collapsed="false">
      <c r="A21" s="28" t="s">
        <v>47</v>
      </c>
      <c r="B21" s="28" t="s">
        <v>902</v>
      </c>
      <c r="C21" s="28" t="s">
        <v>903</v>
      </c>
    </row>
    <row r="22" customFormat="false" ht="15" hidden="false" customHeight="false" outlineLevel="0" collapsed="false">
      <c r="A22" s="28" t="s">
        <v>47</v>
      </c>
      <c r="B22" s="28" t="s">
        <v>904</v>
      </c>
      <c r="C22" s="28" t="s">
        <v>888</v>
      </c>
    </row>
    <row r="23" customFormat="false" ht="15" hidden="false" customHeight="false" outlineLevel="0" collapsed="false">
      <c r="A23" s="28" t="s">
        <v>47</v>
      </c>
      <c r="B23" s="28" t="s">
        <v>905</v>
      </c>
      <c r="C23" s="28" t="s">
        <v>906</v>
      </c>
    </row>
    <row r="24" customFormat="false" ht="15" hidden="false" customHeight="false" outlineLevel="0" collapsed="false">
      <c r="A24" s="28" t="s">
        <v>47</v>
      </c>
      <c r="B24" s="28" t="s">
        <v>907</v>
      </c>
      <c r="C24" s="28" t="s">
        <v>892</v>
      </c>
    </row>
    <row r="25" customFormat="false" ht="15" hidden="false" customHeight="false" outlineLevel="0" collapsed="false">
      <c r="A25" s="28" t="s">
        <v>47</v>
      </c>
      <c r="B25" s="28" t="s">
        <v>908</v>
      </c>
      <c r="C25" s="28" t="s">
        <v>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2026-10-16T11:57:07Z</dcterms:created>
  <dc:creator>openpyxl</dc:creator>
  <dc:description/>
  <dc:language>en-US</dc:language>
  <cp:lastModifiedBy/>
  <dcterms:modified xsi:type="dcterms:W3CDTF">2026-10-16T11:57:07Z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